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nbccollege-my.sharepoint.com/personal/ymottalopesrodrigu01_mynbcc_ca/Documents/AppliedStudies2/"/>
    </mc:Choice>
  </mc:AlternateContent>
  <xr:revisionPtr revIDLastSave="20" documentId="8_{2AFFE648-8708-4450-902F-52116926BAB9}" xr6:coauthVersionLast="47" xr6:coauthVersionMax="47" xr10:uidLastSave="{C3883A27-4895-4CA9-9798-B8A835280C7F}"/>
  <bookViews>
    <workbookView xWindow="-110" yWindow="-110" windowWidth="19420" windowHeight="10300" xr2:uid="{31FFD304-9528-4BB0-B640-C66D7CB7D6F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3" i="1"/>
  <c r="E4" i="1"/>
  <c r="E5" i="1"/>
  <c r="C54" i="1"/>
  <c r="E5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4" i="1"/>
  <c r="E45" i="1"/>
  <c r="E46" i="1"/>
  <c r="E47" i="1"/>
  <c r="E48" i="1"/>
  <c r="E49" i="1"/>
  <c r="E51" i="1"/>
  <c r="E52" i="1"/>
  <c r="E2" i="1"/>
  <c r="E54" i="1" l="1"/>
</calcChain>
</file>

<file path=xl/sharedStrings.xml><?xml version="1.0" encoding="utf-8"?>
<sst xmlns="http://schemas.openxmlformats.org/spreadsheetml/2006/main" count="61" uniqueCount="55">
  <si>
    <t xml:space="preserve">Item </t>
  </si>
  <si>
    <t>LINUX Section</t>
  </si>
  <si>
    <t>Weight</t>
  </si>
  <si>
    <t>Yes/No</t>
  </si>
  <si>
    <t>Score</t>
  </si>
  <si>
    <t xml:space="preserve">There should be 2 Linux Physical hosts setup as VMs. Can you log into each of those? </t>
  </si>
  <si>
    <t xml:space="preserve">Are the Linux VMs getting DHCP addresses etc. from the Windows </t>
  </si>
  <si>
    <t>Can you surf the internet from these Linux VMs</t>
  </si>
  <si>
    <t>There should be 1 Linux Physical host present (a mini-Dell). Is there 1?  The following test procedures will be done on the physical Linux Box.</t>
  </si>
  <si>
    <t>Does the Linux box get a proper DHCP address from the DC?</t>
  </si>
  <si>
    <t>Can the Linux box surf the internet?</t>
  </si>
  <si>
    <t xml:space="preserve">               Are the Linux clients registered in the forward and reverse lookup zones of the domain's DNS?</t>
  </si>
  <si>
    <t>Is the time/date/timezone correct?</t>
  </si>
  <si>
    <t>Are there 4 accounts on the device. One from each OU.</t>
  </si>
  <si>
    <t>Can the Sales person login?</t>
  </si>
  <si>
    <t>Can the Sales person print?</t>
  </si>
  <si>
    <t>Can the Sales person access their sales local directory?</t>
  </si>
  <si>
    <t>Can the sales person access the Sales folder in Active Directory?</t>
  </si>
  <si>
    <t>Is the Sales person denied access to the local Techs, Managers and Staff folders?  Demo each.</t>
  </si>
  <si>
    <t>Is the Sales person denied access to the AD Techs, Managers and Staff folders?  Demo each.</t>
  </si>
  <si>
    <t>Can the Techs person login?</t>
  </si>
  <si>
    <t>Can the Techs person print?</t>
  </si>
  <si>
    <t>Can the Techs person access their Techs local directory?</t>
  </si>
  <si>
    <t>Can the Techs person access the Techs folder in Active Directory?</t>
  </si>
  <si>
    <t>Is the Techs person denied access to the local Sales, Managers and Staff folders?  Demo each.</t>
  </si>
  <si>
    <t>Is the Techs person denied access to the AD Sales, Managers and Staff folders?  Demo each.</t>
  </si>
  <si>
    <t>Can the Staff person login?</t>
  </si>
  <si>
    <t>Can the Staff person print?</t>
  </si>
  <si>
    <t>Can the Staff person access their Staff local directory?</t>
  </si>
  <si>
    <t>Can the Staff person access the Staff folder in Active Directory?</t>
  </si>
  <si>
    <t>Is the Staff person denied access to the local Techs, Managers and Staff folders?  Demo each.</t>
  </si>
  <si>
    <t>Is the Staff person denied access to the AD Techs, Managers and Staff folders?  Demo each.</t>
  </si>
  <si>
    <t>Can the Managers person login?</t>
  </si>
  <si>
    <t>Can the Managers person print?</t>
  </si>
  <si>
    <t>Can the Managers person access their Managers local directory?</t>
  </si>
  <si>
    <t>Can the Managers person access the Managers folder in Active Directory?</t>
  </si>
  <si>
    <t>Is the Managers person allowed access to the local Techs, Sales and Staff folders?  Demo each.</t>
  </si>
  <si>
    <t>Is the Managers person allowed access to the AD Techs, Sales and Staff folders?  Demo each.</t>
  </si>
  <si>
    <t xml:space="preserve"> </t>
  </si>
  <si>
    <r>
      <t xml:space="preserve">Bonus 5 marks:  </t>
    </r>
    <r>
      <rPr>
        <sz val="11"/>
        <color rgb="FF000000"/>
        <rFont val="Aptos Narrow"/>
        <family val="2"/>
        <scheme val="minor"/>
      </rPr>
      <t>Can any user from AD login to the Linux box using their AD credentials?</t>
    </r>
    <r>
      <rPr>
        <b/>
        <sz val="11"/>
        <color rgb="FF000000"/>
        <rFont val="Aptos Narrow"/>
        <family val="2"/>
        <scheme val="minor"/>
      </rPr>
      <t xml:space="preserve">  ** bonus added to overall score</t>
    </r>
  </si>
  <si>
    <r>
      <rPr>
        <b/>
        <sz val="11"/>
        <color rgb="FF000000"/>
        <rFont val="Aptos Narrow"/>
        <family val="2"/>
        <scheme val="minor"/>
      </rPr>
      <t>Bonus 5 Mark</t>
    </r>
    <r>
      <rPr>
        <sz val="11"/>
        <color rgb="FF000000"/>
        <rFont val="Aptos Narrow"/>
        <family val="1"/>
        <scheme val="minor"/>
      </rPr>
      <t>s: Can a user logged into a Windows machine access a folder on the linux machine?</t>
    </r>
    <r>
      <rPr>
        <b/>
        <sz val="11"/>
        <color rgb="FF000000"/>
        <rFont val="Aptos Narrow"/>
        <family val="2"/>
        <scheme val="minor"/>
      </rPr>
      <t xml:space="preserve"> **bonus added to overall score</t>
    </r>
  </si>
  <si>
    <t>There should be 2 Linux VMS, one on each ESXi host. Are they present? The following test items will be done on 1 VM</t>
  </si>
  <si>
    <t xml:space="preserve"> LAMP sever Section</t>
  </si>
  <si>
    <t>Each Team member will have a proper photo</t>
  </si>
  <si>
    <t>Each Team member will have a biography page with a "paragraph" on each user detailing their professional responsibilities and capabilities.</t>
  </si>
  <si>
    <t>There should be a project page with photos of equipment, network layout and so on.</t>
  </si>
  <si>
    <t>This server is accessible from a Windows or Linux Client in the domain.</t>
  </si>
  <si>
    <t>You will setup a Linux VM to act as a TFTP server. Is there a functioning TFTP Server</t>
  </si>
  <si>
    <r>
      <t xml:space="preserve">Test the TFTP server’s operation.  Backup the running config of a switch or router </t>
    </r>
    <r>
      <rPr>
        <b/>
        <sz val="11"/>
        <color rgb="FF000000"/>
        <rFont val="Aptos Narrow"/>
        <family val="2"/>
        <scheme val="minor"/>
      </rPr>
      <t>We want to see the file get backed up.</t>
    </r>
    <r>
      <rPr>
        <sz val="11"/>
        <color rgb="FF000000"/>
        <rFont val="Aptos Narrow"/>
        <family val="2"/>
        <scheme val="minor"/>
      </rPr>
      <t xml:space="preserve"> Does it work?</t>
    </r>
  </si>
  <si>
    <t>Are there existing configurations on the tftp server from the internal and external routers?</t>
  </si>
  <si>
    <t>You will setup a Linux VM to act as a Syslog server. Is there a functioning Syslog Server (this may be the same box as the tftp actually)</t>
  </si>
  <si>
    <t>Test the syslog server's operation. Demo the server in action to your instructor by making a change to a router config.  Does it work?</t>
  </si>
  <si>
    <t>Display a Log from the Syslog server. Can you see previous log entries?</t>
  </si>
  <si>
    <t>Pa</t>
  </si>
  <si>
    <t>Total Score Linux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</si>
</sst>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1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 indent="5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0" borderId="4" xfId="0" applyBorder="1"/>
    <xf numFmtId="0" fontId="2" fillId="0" borderId="4" xfId="0" applyFont="1" applyBorder="1" applyAlignment="1">
      <alignment horizontal="left" vertical="center" wrapText="1" indent="5"/>
    </xf>
    <xf numFmtId="0" fontId="0" fillId="0" borderId="4" xfId="0" applyBorder="1" applyAlignment="1">
      <alignment horizontal="center"/>
    </xf>
    <xf numFmtId="0" fontId="0" fillId="0" borderId="5" xfId="0" applyBorder="1"/>
    <xf numFmtId="0" fontId="3" fillId="0" borderId="4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center" wrapText="1" indent="5"/>
    </xf>
    <xf numFmtId="0" fontId="0" fillId="3" borderId="4" xfId="0" applyFill="1" applyBorder="1"/>
    <xf numFmtId="0" fontId="3" fillId="3" borderId="4" xfId="0" applyFont="1" applyFill="1" applyBorder="1" applyAlignment="1">
      <alignment horizontal="left" vertical="center" wrapText="1" indent="5"/>
    </xf>
    <xf numFmtId="0" fontId="4" fillId="4" borderId="4" xfId="0" applyFont="1" applyFill="1" applyBorder="1"/>
    <xf numFmtId="0" fontId="0" fillId="4" borderId="4" xfId="0" applyFill="1" applyBorder="1"/>
    <xf numFmtId="0" fontId="3" fillId="0" borderId="4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/>
    <xf numFmtId="0" fontId="0" fillId="2" borderId="6" xfId="0" applyFill="1" applyBorder="1" applyAlignment="1">
      <alignment horizontal="center"/>
    </xf>
    <xf numFmtId="0" fontId="0" fillId="0" borderId="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1150</xdr:rowOff>
    </xdr:from>
    <xdr:to>
      <xdr:col>8</xdr:col>
      <xdr:colOff>42334</xdr:colOff>
      <xdr:row>1</xdr:row>
      <xdr:rowOff>1561879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88AC8-3F91-8FB7-8579-6396CBC15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00" y="184594"/>
          <a:ext cx="1862667" cy="15607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8</xdr:col>
      <xdr:colOff>112888</xdr:colOff>
      <xdr:row>2</xdr:row>
      <xdr:rowOff>1540768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B75845-B9A9-A740-C3EB-5DF9BF433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00" y="1778000"/>
          <a:ext cx="1933221" cy="154076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</xdr:row>
      <xdr:rowOff>0</xdr:rowOff>
    </xdr:from>
    <xdr:to>
      <xdr:col>8</xdr:col>
      <xdr:colOff>53339</xdr:colOff>
      <xdr:row>3</xdr:row>
      <xdr:rowOff>1564821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E9E17B-55D3-734C-6207-E03F2E3EC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7680" y="3356429"/>
          <a:ext cx="1890302" cy="156482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7364-F339-46CF-956B-7E70D53C782C}">
  <dimension ref="A1:E54"/>
  <sheetViews>
    <sheetView tabSelected="1" topLeftCell="B20" zoomScale="85" zoomScaleNormal="85" workbookViewId="0">
      <selection activeCell="D22" sqref="D22"/>
    </sheetView>
  </sheetViews>
  <sheetFormatPr defaultRowHeight="14.45"/>
  <cols>
    <col min="2" max="2" width="136" customWidth="1"/>
    <col min="3" max="3" width="9.28515625" customWidth="1"/>
    <col min="4" max="4" width="10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25.1" customHeight="1">
      <c r="A2" s="6">
        <v>1</v>
      </c>
      <c r="B2" s="7" t="s">
        <v>5</v>
      </c>
      <c r="C2" s="6">
        <v>2</v>
      </c>
      <c r="D2" s="21" t="b">
        <v>1</v>
      </c>
      <c r="E2" s="9">
        <f>IF(D2=TRUE, C2, 0)</f>
        <v>2</v>
      </c>
    </row>
    <row r="3" spans="1:5" ht="125.1" customHeight="1">
      <c r="A3" s="6"/>
      <c r="B3" s="7" t="s">
        <v>6</v>
      </c>
      <c r="C3" s="6">
        <v>2</v>
      </c>
      <c r="D3" s="21" t="b">
        <v>1</v>
      </c>
      <c r="E3" s="9">
        <f t="shared" ref="E3:E4" si="0">IF(D3=TRUE, C3, 0)</f>
        <v>2</v>
      </c>
    </row>
    <row r="4" spans="1:5" ht="125.1" customHeight="1">
      <c r="A4" s="6"/>
      <c r="B4" s="7" t="s">
        <v>7</v>
      </c>
      <c r="C4" s="6">
        <v>2</v>
      </c>
      <c r="D4" s="21" t="b">
        <v>1</v>
      </c>
      <c r="E4" s="9">
        <f t="shared" si="0"/>
        <v>2</v>
      </c>
    </row>
    <row r="5" spans="1:5" ht="125.1" customHeight="1">
      <c r="A5" s="6"/>
      <c r="B5" s="7" t="s">
        <v>8</v>
      </c>
      <c r="C5" s="6">
        <v>1</v>
      </c>
      <c r="D5" s="21" t="b">
        <v>1</v>
      </c>
      <c r="E5" s="9">
        <f>IF(D5=TRUE, C5, 0)</f>
        <v>1</v>
      </c>
    </row>
    <row r="6" spans="1:5" ht="125.1" customHeight="1">
      <c r="A6" s="6"/>
      <c r="B6" s="7" t="s">
        <v>9</v>
      </c>
      <c r="C6" s="6">
        <v>1</v>
      </c>
      <c r="D6" s="21" t="b">
        <v>1</v>
      </c>
      <c r="E6" s="9">
        <f t="shared" ref="E6:E53" si="1">IF(D6=TRUE, C6, 0)</f>
        <v>1</v>
      </c>
    </row>
    <row r="7" spans="1:5" ht="125.1" customHeight="1">
      <c r="A7" s="6"/>
      <c r="B7" s="7" t="s">
        <v>10</v>
      </c>
      <c r="C7" s="6">
        <v>1</v>
      </c>
      <c r="D7" s="21" t="b">
        <v>1</v>
      </c>
      <c r="E7" s="9">
        <f t="shared" si="1"/>
        <v>1</v>
      </c>
    </row>
    <row r="8" spans="1:5" ht="125.1" customHeight="1">
      <c r="A8" s="6"/>
      <c r="B8" s="10" t="s">
        <v>11</v>
      </c>
      <c r="C8" s="6">
        <v>2</v>
      </c>
      <c r="D8" s="21" t="b">
        <v>0</v>
      </c>
      <c r="E8" s="9">
        <f t="shared" si="1"/>
        <v>0</v>
      </c>
    </row>
    <row r="9" spans="1:5" ht="125.1" customHeight="1">
      <c r="A9" s="6"/>
      <c r="B9" s="7" t="s">
        <v>12</v>
      </c>
      <c r="C9" s="6">
        <v>1</v>
      </c>
      <c r="D9" s="21" t="b">
        <v>1</v>
      </c>
      <c r="E9" s="9">
        <f t="shared" si="1"/>
        <v>1</v>
      </c>
    </row>
    <row r="10" spans="1:5" ht="125.1" customHeight="1">
      <c r="A10" s="6"/>
      <c r="B10" s="7" t="s">
        <v>13</v>
      </c>
      <c r="C10" s="6">
        <v>1</v>
      </c>
      <c r="D10" s="21" t="b">
        <v>0</v>
      </c>
      <c r="E10" s="9">
        <f t="shared" si="1"/>
        <v>0</v>
      </c>
    </row>
    <row r="11" spans="1:5" ht="125.1" customHeight="1">
      <c r="A11" s="6"/>
      <c r="B11" s="7" t="s">
        <v>14</v>
      </c>
      <c r="C11" s="6">
        <v>1</v>
      </c>
      <c r="D11" s="21" t="b">
        <v>1</v>
      </c>
      <c r="E11" s="9">
        <f t="shared" si="1"/>
        <v>1</v>
      </c>
    </row>
    <row r="12" spans="1:5" ht="125.1" customHeight="1">
      <c r="A12" s="6"/>
      <c r="B12" s="7" t="s">
        <v>15</v>
      </c>
      <c r="C12" s="6">
        <v>1</v>
      </c>
      <c r="D12" s="21" t="b">
        <v>1</v>
      </c>
      <c r="E12" s="9">
        <f t="shared" si="1"/>
        <v>1</v>
      </c>
    </row>
    <row r="13" spans="1:5" ht="125.1" customHeight="1">
      <c r="A13" s="6"/>
      <c r="B13" s="7" t="s">
        <v>16</v>
      </c>
      <c r="C13" s="6">
        <v>1</v>
      </c>
      <c r="D13" s="21" t="b">
        <v>0</v>
      </c>
      <c r="E13" s="9">
        <f t="shared" si="1"/>
        <v>0</v>
      </c>
    </row>
    <row r="14" spans="1:5" ht="125.1" customHeight="1">
      <c r="A14" s="6"/>
      <c r="B14" s="7" t="s">
        <v>17</v>
      </c>
      <c r="C14" s="6">
        <v>2</v>
      </c>
      <c r="D14" s="21" t="b">
        <v>0</v>
      </c>
      <c r="E14" s="9">
        <f t="shared" si="1"/>
        <v>0</v>
      </c>
    </row>
    <row r="15" spans="1:5" ht="125.1" customHeight="1">
      <c r="A15" s="6"/>
      <c r="B15" s="7" t="s">
        <v>18</v>
      </c>
      <c r="C15" s="6">
        <v>3</v>
      </c>
      <c r="D15" s="21" t="b">
        <v>1</v>
      </c>
      <c r="E15" s="9">
        <f t="shared" si="1"/>
        <v>3</v>
      </c>
    </row>
    <row r="16" spans="1:5" ht="125.1" customHeight="1">
      <c r="A16" s="6"/>
      <c r="B16" s="7" t="s">
        <v>19</v>
      </c>
      <c r="C16" s="6">
        <v>3</v>
      </c>
      <c r="D16" s="21" t="b">
        <v>1</v>
      </c>
      <c r="E16" s="9">
        <f t="shared" si="1"/>
        <v>3</v>
      </c>
    </row>
    <row r="17" spans="1:5" ht="125.1" customHeight="1">
      <c r="A17" s="6"/>
      <c r="B17" s="7" t="s">
        <v>20</v>
      </c>
      <c r="C17" s="6">
        <v>1</v>
      </c>
      <c r="D17" s="21" t="b">
        <v>1</v>
      </c>
      <c r="E17" s="9">
        <f t="shared" si="1"/>
        <v>1</v>
      </c>
    </row>
    <row r="18" spans="1:5" ht="125.1" customHeight="1">
      <c r="A18" s="6"/>
      <c r="B18" s="7" t="s">
        <v>21</v>
      </c>
      <c r="C18" s="6">
        <v>1</v>
      </c>
      <c r="D18" s="21" t="b">
        <v>1</v>
      </c>
      <c r="E18" s="9">
        <f t="shared" si="1"/>
        <v>1</v>
      </c>
    </row>
    <row r="19" spans="1:5" ht="125.1" customHeight="1">
      <c r="A19" s="6"/>
      <c r="B19" s="7" t="s">
        <v>22</v>
      </c>
      <c r="C19" s="6">
        <v>1</v>
      </c>
      <c r="D19" s="21" t="b">
        <v>0</v>
      </c>
      <c r="E19" s="9">
        <f t="shared" si="1"/>
        <v>0</v>
      </c>
    </row>
    <row r="20" spans="1:5" ht="125.1" customHeight="1">
      <c r="A20" s="6"/>
      <c r="B20" s="7" t="s">
        <v>23</v>
      </c>
      <c r="C20" s="6">
        <v>2</v>
      </c>
      <c r="D20" s="21" t="b">
        <v>0</v>
      </c>
      <c r="E20" s="9">
        <f t="shared" si="1"/>
        <v>0</v>
      </c>
    </row>
    <row r="21" spans="1:5" ht="125.1" customHeight="1">
      <c r="A21" s="6"/>
      <c r="B21" s="7" t="s">
        <v>24</v>
      </c>
      <c r="C21" s="6">
        <v>3</v>
      </c>
      <c r="D21" s="21" t="b">
        <v>1</v>
      </c>
      <c r="E21" s="9">
        <f t="shared" si="1"/>
        <v>3</v>
      </c>
    </row>
    <row r="22" spans="1:5" ht="125.1" customHeight="1">
      <c r="A22" s="6"/>
      <c r="B22" s="7" t="s">
        <v>25</v>
      </c>
      <c r="C22" s="6">
        <v>3</v>
      </c>
      <c r="D22" s="21" t="b">
        <v>1</v>
      </c>
      <c r="E22" s="9">
        <f t="shared" si="1"/>
        <v>3</v>
      </c>
    </row>
    <row r="23" spans="1:5" ht="125.1" customHeight="1">
      <c r="A23" s="6"/>
      <c r="B23" s="7" t="s">
        <v>26</v>
      </c>
      <c r="C23" s="6">
        <v>1</v>
      </c>
      <c r="D23" s="21" t="b">
        <v>1</v>
      </c>
      <c r="E23" s="9">
        <f t="shared" si="1"/>
        <v>1</v>
      </c>
    </row>
    <row r="24" spans="1:5" ht="125.1" customHeight="1">
      <c r="A24" s="6"/>
      <c r="B24" s="7" t="s">
        <v>27</v>
      </c>
      <c r="C24" s="6">
        <v>1</v>
      </c>
      <c r="D24" s="21" t="b">
        <v>1</v>
      </c>
      <c r="E24" s="9">
        <f t="shared" si="1"/>
        <v>1</v>
      </c>
    </row>
    <row r="25" spans="1:5" ht="125.1" customHeight="1">
      <c r="A25" s="6"/>
      <c r="B25" s="7" t="s">
        <v>28</v>
      </c>
      <c r="C25" s="6">
        <v>1</v>
      </c>
      <c r="D25" s="21" t="b">
        <v>0</v>
      </c>
      <c r="E25" s="9">
        <f t="shared" si="1"/>
        <v>0</v>
      </c>
    </row>
    <row r="26" spans="1:5" ht="125.1" customHeight="1">
      <c r="A26" s="6"/>
      <c r="B26" s="7" t="s">
        <v>29</v>
      </c>
      <c r="C26" s="6">
        <v>2</v>
      </c>
      <c r="D26" s="21" t="b">
        <v>0</v>
      </c>
      <c r="E26" s="9">
        <f t="shared" si="1"/>
        <v>0</v>
      </c>
    </row>
    <row r="27" spans="1:5" ht="125.1" customHeight="1">
      <c r="A27" s="6"/>
      <c r="B27" s="7" t="s">
        <v>30</v>
      </c>
      <c r="C27" s="6">
        <v>3</v>
      </c>
      <c r="D27" s="21" t="b">
        <v>0</v>
      </c>
      <c r="E27" s="9">
        <f t="shared" si="1"/>
        <v>0</v>
      </c>
    </row>
    <row r="28" spans="1:5" ht="125.1" customHeight="1">
      <c r="A28" s="6"/>
      <c r="B28" s="7" t="s">
        <v>31</v>
      </c>
      <c r="C28" s="6">
        <v>3</v>
      </c>
      <c r="D28" s="21" t="b">
        <v>0</v>
      </c>
      <c r="E28" s="9">
        <f t="shared" si="1"/>
        <v>0</v>
      </c>
    </row>
    <row r="29" spans="1:5" ht="125.1" customHeight="1">
      <c r="A29" s="6"/>
      <c r="B29" s="7" t="s">
        <v>32</v>
      </c>
      <c r="C29" s="6">
        <v>1</v>
      </c>
      <c r="D29" s="21" t="b">
        <v>1</v>
      </c>
      <c r="E29" s="9">
        <f t="shared" si="1"/>
        <v>1</v>
      </c>
    </row>
    <row r="30" spans="1:5" ht="125.1" customHeight="1">
      <c r="A30" s="6"/>
      <c r="B30" s="7" t="s">
        <v>33</v>
      </c>
      <c r="C30" s="6">
        <v>1</v>
      </c>
      <c r="D30" s="21" t="b">
        <v>1</v>
      </c>
      <c r="E30" s="9">
        <f t="shared" si="1"/>
        <v>1</v>
      </c>
    </row>
    <row r="31" spans="1:5" ht="125.1" customHeight="1">
      <c r="A31" s="6"/>
      <c r="B31" s="7" t="s">
        <v>34</v>
      </c>
      <c r="C31" s="6">
        <v>1</v>
      </c>
      <c r="D31" s="21" t="b">
        <v>0</v>
      </c>
      <c r="E31" s="9">
        <f t="shared" si="1"/>
        <v>0</v>
      </c>
    </row>
    <row r="32" spans="1:5" ht="125.1" customHeight="1">
      <c r="A32" s="6"/>
      <c r="B32" s="7" t="s">
        <v>35</v>
      </c>
      <c r="C32" s="6">
        <v>2</v>
      </c>
      <c r="D32" s="21" t="b">
        <v>0</v>
      </c>
      <c r="E32" s="9">
        <f t="shared" si="1"/>
        <v>0</v>
      </c>
    </row>
    <row r="33" spans="1:5" ht="125.1" customHeight="1">
      <c r="A33" s="6"/>
      <c r="B33" s="7" t="s">
        <v>36</v>
      </c>
      <c r="C33" s="6">
        <v>3</v>
      </c>
      <c r="D33" s="21" t="b">
        <v>0</v>
      </c>
      <c r="E33" s="9">
        <f t="shared" si="1"/>
        <v>0</v>
      </c>
    </row>
    <row r="34" spans="1:5" ht="125.1" customHeight="1">
      <c r="A34" s="6"/>
      <c r="B34" s="7" t="s">
        <v>37</v>
      </c>
      <c r="C34" s="6">
        <v>3</v>
      </c>
      <c r="D34" s="21" t="b">
        <v>0</v>
      </c>
      <c r="E34" s="9">
        <f t="shared" si="1"/>
        <v>0</v>
      </c>
    </row>
    <row r="35" spans="1:5" ht="125.1" customHeight="1">
      <c r="A35" s="6" t="s">
        <v>38</v>
      </c>
      <c r="B35" s="11" t="s">
        <v>39</v>
      </c>
      <c r="C35" s="12">
        <v>5</v>
      </c>
      <c r="D35" s="22" t="b">
        <v>1</v>
      </c>
      <c r="E35" s="9">
        <f t="shared" si="1"/>
        <v>5</v>
      </c>
    </row>
    <row r="36" spans="1:5" ht="125.1" customHeight="1">
      <c r="A36" s="6" t="s">
        <v>38</v>
      </c>
      <c r="B36" s="13" t="s">
        <v>40</v>
      </c>
      <c r="C36" s="12">
        <v>5</v>
      </c>
      <c r="D36" s="22" t="b">
        <v>0</v>
      </c>
      <c r="E36" s="9">
        <f t="shared" si="1"/>
        <v>0</v>
      </c>
    </row>
    <row r="37" spans="1:5" ht="125.1" customHeight="1">
      <c r="A37" s="6"/>
      <c r="B37" s="7" t="s">
        <v>41</v>
      </c>
      <c r="C37" s="6">
        <v>1</v>
      </c>
      <c r="D37" s="21" t="b">
        <v>1</v>
      </c>
      <c r="E37" s="9">
        <f t="shared" si="1"/>
        <v>1</v>
      </c>
    </row>
    <row r="38" spans="1:5" ht="125.1" customHeight="1">
      <c r="A38" s="6"/>
      <c r="B38" s="7" t="s">
        <v>14</v>
      </c>
      <c r="C38" s="6">
        <v>1</v>
      </c>
      <c r="D38" s="21" t="b">
        <v>1</v>
      </c>
      <c r="E38" s="9">
        <f t="shared" si="1"/>
        <v>1</v>
      </c>
    </row>
    <row r="39" spans="1:5" ht="125.1" customHeight="1">
      <c r="A39" s="6"/>
      <c r="B39" s="7" t="s">
        <v>15</v>
      </c>
      <c r="C39" s="6">
        <v>1</v>
      </c>
      <c r="D39" s="21" t="b">
        <v>1</v>
      </c>
      <c r="E39" s="9">
        <f t="shared" si="1"/>
        <v>1</v>
      </c>
    </row>
    <row r="40" spans="1:5" ht="125.1" customHeight="1">
      <c r="A40" s="6"/>
      <c r="B40" s="7" t="s">
        <v>16</v>
      </c>
      <c r="C40" s="6">
        <v>1</v>
      </c>
      <c r="D40" s="21" t="b">
        <v>0</v>
      </c>
      <c r="E40" s="9">
        <f t="shared" si="1"/>
        <v>0</v>
      </c>
    </row>
    <row r="41" spans="1:5" ht="125.1" customHeight="1">
      <c r="A41" s="6"/>
      <c r="B41" s="7" t="s">
        <v>17</v>
      </c>
      <c r="C41" s="6">
        <v>1</v>
      </c>
      <c r="D41" s="21" t="b">
        <v>0</v>
      </c>
      <c r="E41" s="9">
        <f t="shared" si="1"/>
        <v>0</v>
      </c>
    </row>
    <row r="42" spans="1:5" ht="125.1" customHeight="1">
      <c r="A42" s="6"/>
      <c r="B42" s="7" t="s">
        <v>18</v>
      </c>
      <c r="C42" s="6">
        <v>3</v>
      </c>
      <c r="D42" s="21" t="b">
        <v>0</v>
      </c>
      <c r="E42" s="9">
        <f t="shared" si="1"/>
        <v>0</v>
      </c>
    </row>
    <row r="43" spans="1:5" ht="125.1" customHeight="1">
      <c r="A43" s="6"/>
      <c r="B43" s="14" t="s">
        <v>42</v>
      </c>
      <c r="C43" s="15"/>
      <c r="D43" s="8"/>
      <c r="E43" s="9"/>
    </row>
    <row r="44" spans="1:5" ht="125.1" customHeight="1">
      <c r="A44" s="6"/>
      <c r="B44" s="10" t="s">
        <v>43</v>
      </c>
      <c r="C44" s="6">
        <v>2</v>
      </c>
      <c r="D44" s="21" t="b">
        <v>1</v>
      </c>
      <c r="E44" s="9">
        <f t="shared" si="1"/>
        <v>2</v>
      </c>
    </row>
    <row r="45" spans="1:5" ht="125.1" customHeight="1">
      <c r="A45" s="6"/>
      <c r="B45" s="16" t="s">
        <v>44</v>
      </c>
      <c r="C45" s="6">
        <v>2</v>
      </c>
      <c r="D45" s="21" t="b">
        <v>1</v>
      </c>
      <c r="E45" s="9">
        <f t="shared" si="1"/>
        <v>2</v>
      </c>
    </row>
    <row r="46" spans="1:5" ht="125.1" customHeight="1">
      <c r="A46" s="6"/>
      <c r="B46" s="16" t="s">
        <v>45</v>
      </c>
      <c r="C46" s="6">
        <v>1</v>
      </c>
      <c r="D46" s="21" t="b">
        <v>1</v>
      </c>
      <c r="E46" s="9">
        <f t="shared" si="1"/>
        <v>1</v>
      </c>
    </row>
    <row r="47" spans="1:5" ht="125.1" customHeight="1">
      <c r="A47" s="6"/>
      <c r="B47" s="16" t="s">
        <v>46</v>
      </c>
      <c r="C47" s="6">
        <v>1</v>
      </c>
      <c r="D47" s="21" t="b">
        <v>1</v>
      </c>
      <c r="E47" s="9">
        <f t="shared" si="1"/>
        <v>1</v>
      </c>
    </row>
    <row r="48" spans="1:5" ht="125.1" customHeight="1">
      <c r="A48" s="6"/>
      <c r="B48" s="17" t="s">
        <v>47</v>
      </c>
      <c r="C48" s="6">
        <v>2</v>
      </c>
      <c r="D48" s="21" t="b">
        <v>1</v>
      </c>
      <c r="E48" s="9">
        <f t="shared" si="1"/>
        <v>2</v>
      </c>
    </row>
    <row r="49" spans="1:5" ht="125.1" customHeight="1">
      <c r="A49" s="6"/>
      <c r="B49" s="16" t="s">
        <v>48</v>
      </c>
      <c r="C49" s="6">
        <v>4</v>
      </c>
      <c r="D49" s="21" t="b">
        <v>1</v>
      </c>
      <c r="E49" s="9">
        <f t="shared" si="1"/>
        <v>4</v>
      </c>
    </row>
    <row r="50" spans="1:5" ht="125.1" customHeight="1">
      <c r="A50" s="6"/>
      <c r="B50" s="16" t="s">
        <v>49</v>
      </c>
      <c r="C50" s="6">
        <v>4</v>
      </c>
      <c r="D50" s="21" t="b">
        <v>1</v>
      </c>
      <c r="E50" s="9">
        <f t="shared" si="1"/>
        <v>4</v>
      </c>
    </row>
    <row r="51" spans="1:5" ht="125.1" customHeight="1">
      <c r="A51" s="6"/>
      <c r="B51" s="17" t="s">
        <v>50</v>
      </c>
      <c r="C51" s="6">
        <v>2</v>
      </c>
      <c r="D51" s="21" t="b">
        <v>1</v>
      </c>
      <c r="E51" s="9">
        <f t="shared" si="1"/>
        <v>2</v>
      </c>
    </row>
    <row r="52" spans="1:5" ht="125.1" customHeight="1">
      <c r="A52" s="6"/>
      <c r="B52" s="16" t="s">
        <v>51</v>
      </c>
      <c r="C52" s="6">
        <v>4</v>
      </c>
      <c r="D52" s="21" t="b">
        <v>0</v>
      </c>
      <c r="E52" s="9">
        <f t="shared" si="1"/>
        <v>0</v>
      </c>
    </row>
    <row r="53" spans="1:5" ht="125.1" customHeight="1">
      <c r="A53" s="6"/>
      <c r="B53" s="23" t="s">
        <v>52</v>
      </c>
      <c r="C53" s="24">
        <v>2</v>
      </c>
      <c r="D53" s="25" t="s">
        <v>53</v>
      </c>
      <c r="E53" s="9">
        <f t="shared" si="1"/>
        <v>0</v>
      </c>
    </row>
    <row r="54" spans="1:5" ht="125.1" customHeight="1" thickBot="1">
      <c r="A54" s="6"/>
      <c r="B54" s="18" t="s">
        <v>54</v>
      </c>
      <c r="C54" s="19">
        <f>SUM(C2:C34)+SUM(C37:C53)</f>
        <v>89</v>
      </c>
      <c r="D54" s="20"/>
      <c r="E54" s="9">
        <f>SUM(E2:E53)</f>
        <v>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97BD71CBB1794AAF53507D06359082" ma:contentTypeVersion="14" ma:contentTypeDescription="Create a new document." ma:contentTypeScope="" ma:versionID="b12a04dfc59522004c852b8e908e4eca">
  <xsd:schema xmlns:xsd="http://www.w3.org/2001/XMLSchema" xmlns:xs="http://www.w3.org/2001/XMLSchema" xmlns:p="http://schemas.microsoft.com/office/2006/metadata/properties" xmlns:ns3="33d64bb2-a18d-4495-a036-83e43b2dd7aa" xmlns:ns4="7e0a6ff0-d0d1-4dab-88ee-22a11217d850" targetNamespace="http://schemas.microsoft.com/office/2006/metadata/properties" ma:root="true" ma:fieldsID="d2cc54002095b8f30399af000c852aee" ns3:_="" ns4:_="">
    <xsd:import namespace="33d64bb2-a18d-4495-a036-83e43b2dd7aa"/>
    <xsd:import namespace="7e0a6ff0-d0d1-4dab-88ee-22a11217d85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64bb2-a18d-4495-a036-83e43b2dd7a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a6ff0-d0d1-4dab-88ee-22a11217d8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d64bb2-a18d-4495-a036-83e43b2dd7aa" xsi:nil="true"/>
  </documentManagement>
</p:properties>
</file>

<file path=customXml/itemProps1.xml><?xml version="1.0" encoding="utf-8"?>
<ds:datastoreItem xmlns:ds="http://schemas.openxmlformats.org/officeDocument/2006/customXml" ds:itemID="{A068AE7C-FEE3-419E-894A-E3ACF9FB1F6F}"/>
</file>

<file path=customXml/itemProps2.xml><?xml version="1.0" encoding="utf-8"?>
<ds:datastoreItem xmlns:ds="http://schemas.openxmlformats.org/officeDocument/2006/customXml" ds:itemID="{FBC40DE6-4FBF-4FAC-9E61-F2D02947532E}"/>
</file>

<file path=customXml/itemProps3.xml><?xml version="1.0" encoding="utf-8"?>
<ds:datastoreItem xmlns:ds="http://schemas.openxmlformats.org/officeDocument/2006/customXml" ds:itemID="{6CB34BDE-D4A6-4E29-9CD0-4D82AA328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McDevitt, Peter (NBCC)</dc:creator>
  <cp:keywords/>
  <dc:description/>
  <cp:lastModifiedBy>Motta Lopes Rodrigues Silva, Yuri</cp:lastModifiedBy>
  <cp:revision/>
  <dcterms:created xsi:type="dcterms:W3CDTF">2024-04-13T14:35:10Z</dcterms:created>
  <dcterms:modified xsi:type="dcterms:W3CDTF">2025-04-15T12:00:46Z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0x010100E297BD71CBB1794AAF53507D06359082</vt:lpwstr>
  </property>
</Properties>
</file>