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03"/>
  <workbookPr/>
  <mc:AlternateContent xmlns:mc="http://schemas.openxmlformats.org/markup-compatibility/2006">
    <mc:Choice Requires="x15">
      <x15ac:absPath xmlns:x15ac="http://schemas.microsoft.com/office/spreadsheetml/2010/11/ac" url="https://nbccollege-my.sharepoint.com/personal/ymottalopesrodrigu01_mynbcc_ca/Documents/AppliedStudies2/"/>
    </mc:Choice>
  </mc:AlternateContent>
  <xr:revisionPtr revIDLastSave="1387" documentId="11_0B1D56BE9CDCCE836B02CE7A5FB0D4A9BBFD1C62" xr6:coauthVersionLast="47" xr6:coauthVersionMax="47" xr10:uidLastSave="{ADDE9691-02F8-489C-B9CE-07DE134C2DF7}"/>
  <bookViews>
    <workbookView xWindow="-110" yWindow="-110" windowWidth="19420" windowHeight="10300" firstSheet="1" activeTab="1" xr2:uid="{00000000-000D-0000-FFFF-FFFF00000000}"/>
  </bookViews>
  <sheets>
    <sheet name="Sheet3" sheetId="3" r:id="rId1"/>
    <sheet name="Yuri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J2" i="2"/>
  <c r="J95" i="3"/>
  <c r="J94" i="3"/>
  <c r="J91" i="3"/>
  <c r="J92" i="3"/>
  <c r="J93" i="3"/>
  <c r="J96" i="3"/>
  <c r="J97" i="3"/>
  <c r="J98" i="3"/>
  <c r="J99" i="3"/>
  <c r="J100" i="3"/>
  <c r="J90" i="3"/>
  <c r="J89" i="3"/>
  <c r="J88" i="3"/>
  <c r="J87" i="3"/>
  <c r="J86" i="3"/>
  <c r="N2" i="2"/>
  <c r="O2" i="2"/>
  <c r="J85" i="3"/>
  <c r="J84" i="3"/>
  <c r="J83" i="3"/>
  <c r="J82" i="3"/>
  <c r="J75" i="3"/>
  <c r="J76" i="3"/>
  <c r="J77" i="3"/>
  <c r="J78" i="3"/>
  <c r="J79" i="3"/>
  <c r="J80" i="3"/>
  <c r="J81" i="3"/>
  <c r="J66" i="3"/>
  <c r="J67" i="3"/>
  <c r="K67" i="3"/>
  <c r="J68" i="3"/>
  <c r="J69" i="3"/>
  <c r="K69" i="3"/>
  <c r="L69" i="3"/>
  <c r="J70" i="3"/>
  <c r="J71" i="3"/>
  <c r="K71" i="3"/>
  <c r="L71" i="3"/>
  <c r="J72" i="3"/>
  <c r="J73" i="3"/>
  <c r="K73" i="3" s="1"/>
  <c r="J74" i="3"/>
  <c r="K74" i="3" s="1"/>
  <c r="K68" i="3"/>
  <c r="L68" i="3"/>
  <c r="K72" i="3"/>
  <c r="J61" i="3"/>
  <c r="J62" i="3"/>
  <c r="K62" i="3"/>
  <c r="L62" i="3"/>
  <c r="J63" i="3"/>
  <c r="J64" i="3"/>
  <c r="J65" i="3"/>
  <c r="N7" i="3"/>
  <c r="N3" i="3"/>
  <c r="J57" i="3"/>
  <c r="K57" i="3"/>
  <c r="J56" i="3"/>
  <c r="K56" i="3"/>
  <c r="L56" i="3"/>
  <c r="J55" i="3"/>
  <c r="J58" i="3"/>
  <c r="J59" i="3"/>
  <c r="J60" i="3"/>
  <c r="J50" i="3"/>
  <c r="J51" i="3"/>
  <c r="J52" i="3"/>
  <c r="J53" i="3"/>
  <c r="J54" i="3"/>
  <c r="J48" i="3"/>
  <c r="K48" i="3"/>
  <c r="L48" i="3"/>
  <c r="J47" i="3"/>
  <c r="K47" i="3"/>
  <c r="L47" i="3"/>
  <c r="J46" i="3"/>
  <c r="K46" i="3"/>
  <c r="L46" i="3"/>
  <c r="J41" i="3"/>
  <c r="J32" i="3"/>
  <c r="J33" i="3"/>
  <c r="K33" i="3"/>
  <c r="L33" i="3"/>
  <c r="J34" i="3"/>
  <c r="K34" i="3"/>
  <c r="L34" i="3"/>
  <c r="J35" i="3"/>
  <c r="K35" i="3"/>
  <c r="L35" i="3"/>
  <c r="J36" i="3"/>
  <c r="K36" i="3"/>
  <c r="L36" i="3"/>
  <c r="J37" i="3"/>
  <c r="K37" i="3"/>
  <c r="L37" i="3"/>
  <c r="J38" i="3"/>
  <c r="K38" i="3"/>
  <c r="L38" i="3"/>
  <c r="J39" i="3"/>
  <c r="K39" i="3"/>
  <c r="L39" i="3"/>
  <c r="J40" i="3"/>
  <c r="K40" i="3"/>
  <c r="L40" i="3"/>
  <c r="J42" i="3"/>
  <c r="K42" i="3"/>
  <c r="L42" i="3"/>
  <c r="J43" i="3"/>
  <c r="K43" i="3"/>
  <c r="J44" i="3"/>
  <c r="K44" i="3"/>
  <c r="L44" i="3"/>
  <c r="J45" i="3"/>
  <c r="K45" i="3"/>
  <c r="L45" i="3"/>
  <c r="J49" i="3"/>
  <c r="K49" i="3"/>
  <c r="L49" i="3"/>
  <c r="J31" i="3"/>
  <c r="P7" i="3" s="1"/>
  <c r="J30" i="3"/>
  <c r="J9" i="3"/>
  <c r="J12" i="3"/>
  <c r="K12" i="3"/>
  <c r="J11" i="3"/>
  <c r="K11" i="3"/>
  <c r="J7" i="3"/>
  <c r="J29" i="3"/>
  <c r="J28" i="3"/>
  <c r="J27" i="3"/>
  <c r="J26" i="3"/>
  <c r="J25" i="3"/>
  <c r="J23" i="3"/>
  <c r="J24" i="3"/>
  <c r="J22" i="3"/>
  <c r="J20" i="3"/>
  <c r="J21" i="3"/>
  <c r="J3" i="3"/>
  <c r="J4" i="3"/>
  <c r="K4" i="3"/>
  <c r="L4" i="3"/>
  <c r="J5" i="3"/>
  <c r="K5" i="3"/>
  <c r="L5" i="3"/>
  <c r="J6" i="3"/>
  <c r="K6" i="3"/>
  <c r="L6" i="3"/>
  <c r="J8" i="3"/>
  <c r="K8" i="3"/>
  <c r="J10" i="3"/>
  <c r="K10" i="3"/>
  <c r="J13" i="3"/>
  <c r="K13" i="3"/>
  <c r="J14" i="3"/>
  <c r="K14" i="3"/>
  <c r="J16" i="3"/>
  <c r="K16" i="3"/>
  <c r="K70" i="3"/>
  <c r="L70" i="3"/>
  <c r="L67" i="3"/>
  <c r="K66" i="3"/>
  <c r="L66" i="3" s="1"/>
  <c r="K61" i="3"/>
  <c r="L61" i="3"/>
  <c r="L43" i="3"/>
  <c r="K54" i="3"/>
  <c r="L54" i="3"/>
  <c r="K53" i="3"/>
  <c r="L53" i="3"/>
  <c r="K50" i="3"/>
  <c r="L50" i="3"/>
  <c r="K60" i="3"/>
  <c r="L60" i="3"/>
  <c r="K59" i="3"/>
  <c r="L59" i="3"/>
  <c r="K58" i="3"/>
  <c r="L58" i="3"/>
  <c r="L57" i="3"/>
  <c r="K55" i="3"/>
  <c r="L55" i="3"/>
  <c r="K52" i="3"/>
  <c r="L52" i="3"/>
  <c r="K51" i="3"/>
  <c r="L51" i="3"/>
  <c r="K41" i="3"/>
  <c r="L41" i="3"/>
  <c r="K32" i="3"/>
  <c r="L32" i="3"/>
  <c r="K31" i="3"/>
  <c r="Q7" i="3" s="1"/>
  <c r="L31" i="3"/>
  <c r="R7" i="3" s="1"/>
  <c r="K30" i="3"/>
  <c r="L30" i="3"/>
  <c r="K9" i="3"/>
  <c r="L9" i="3"/>
  <c r="K7" i="3"/>
  <c r="L7" i="3"/>
  <c r="K29" i="3"/>
  <c r="L29" i="3"/>
  <c r="K28" i="3"/>
  <c r="L28" i="3"/>
  <c r="K27" i="3"/>
  <c r="L27" i="3"/>
  <c r="K26" i="3"/>
  <c r="L26" i="3"/>
  <c r="K25" i="3"/>
  <c r="L25" i="3"/>
  <c r="L13" i="3"/>
  <c r="L8" i="3"/>
  <c r="K23" i="3"/>
  <c r="L23" i="3"/>
  <c r="K24" i="3"/>
  <c r="L24" i="3"/>
  <c r="K22" i="3"/>
  <c r="L22" i="3"/>
  <c r="K20" i="3"/>
  <c r="L20" i="3"/>
  <c r="K21" i="3"/>
  <c r="L21" i="3"/>
  <c r="L16" i="3"/>
  <c r="K3" i="3"/>
  <c r="L14" i="3"/>
  <c r="L3" i="3"/>
  <c r="K87" i="3" l="1"/>
  <c r="L87" i="3" s="1"/>
  <c r="K88" i="3"/>
  <c r="L88" i="3" s="1"/>
  <c r="K100" i="3"/>
  <c r="L100" i="3" s="1"/>
  <c r="K99" i="3"/>
  <c r="L99" i="3" s="1"/>
  <c r="K98" i="3"/>
  <c r="L98" i="3" s="1"/>
  <c r="K91" i="3"/>
  <c r="L91" i="3" s="1"/>
  <c r="K2" i="2"/>
  <c r="L2" i="2" s="1"/>
  <c r="K3" i="2"/>
  <c r="L3" i="2" s="1"/>
  <c r="K97" i="3"/>
  <c r="L97" i="3" s="1"/>
  <c r="K96" i="3"/>
  <c r="L96" i="3" s="1"/>
  <c r="K95" i="3"/>
  <c r="L95" i="3" s="1"/>
  <c r="K94" i="3"/>
  <c r="L94" i="3" s="1"/>
  <c r="K93" i="3"/>
  <c r="L93" i="3" s="1"/>
  <c r="K92" i="3"/>
  <c r="L92" i="3" s="1"/>
  <c r="K90" i="3"/>
  <c r="L90" i="3" s="1"/>
  <c r="K89" i="3"/>
  <c r="L89" i="3" s="1"/>
  <c r="K64" i="3"/>
  <c r="L64" i="3" s="1"/>
  <c r="K63" i="3"/>
  <c r="L63" i="3" s="1"/>
  <c r="L72" i="3"/>
  <c r="K75" i="3"/>
  <c r="L75" i="3" s="1"/>
  <c r="K86" i="3"/>
  <c r="L86" i="3"/>
  <c r="K82" i="3"/>
  <c r="L82" i="3" s="1"/>
  <c r="K83" i="3"/>
  <c r="L83" i="3" s="1"/>
  <c r="K84" i="3"/>
  <c r="L84" i="3" s="1"/>
  <c r="K85" i="3"/>
  <c r="L85" i="3" s="1"/>
  <c r="K81" i="3"/>
  <c r="L81" i="3" s="1"/>
  <c r="K80" i="3"/>
  <c r="L80" i="3" s="1"/>
  <c r="K79" i="3"/>
  <c r="L79" i="3" s="1"/>
  <c r="K78" i="3"/>
  <c r="L78" i="3" s="1"/>
  <c r="K77" i="3"/>
  <c r="L77" i="3" s="1"/>
  <c r="K76" i="3"/>
  <c r="L76" i="3" s="1"/>
  <c r="L74" i="3"/>
  <c r="P3" i="3"/>
  <c r="L73" i="3"/>
  <c r="K65" i="3"/>
  <c r="Q2" i="2" l="1"/>
  <c r="P2" i="2"/>
  <c r="Q3" i="3"/>
  <c r="L65" i="3"/>
  <c r="R3" i="3" s="1"/>
</calcChain>
</file>

<file path=xl/sharedStrings.xml><?xml version="1.0" encoding="utf-8"?>
<sst xmlns="http://schemas.openxmlformats.org/spreadsheetml/2006/main" count="237" uniqueCount="128">
  <si>
    <t>Task#</t>
  </si>
  <si>
    <t>Description</t>
  </si>
  <si>
    <t>Responsible</t>
  </si>
  <si>
    <t>Completion</t>
  </si>
  <si>
    <t>Date</t>
  </si>
  <si>
    <t>Start time</t>
  </si>
  <si>
    <t>End Time</t>
  </si>
  <si>
    <t>Time Spent (h)</t>
  </si>
  <si>
    <t>Cost per hour ($)</t>
  </si>
  <si>
    <t xml:space="preserve">Sub-total </t>
  </si>
  <si>
    <t>Taxes</t>
  </si>
  <si>
    <t>Total cost</t>
  </si>
  <si>
    <t>Total time spent (h)</t>
  </si>
  <si>
    <t>Subtotal</t>
  </si>
  <si>
    <t>Turn the server on and make sure it is working (hardware check / RAID controller)</t>
  </si>
  <si>
    <t>Elianne</t>
  </si>
  <si>
    <t>Configure Router E1019</t>
  </si>
  <si>
    <t xml:space="preserve">Yuri </t>
  </si>
  <si>
    <t>Configure Router C1002</t>
  </si>
  <si>
    <t>Tyler</t>
  </si>
  <si>
    <t>Configure Internal Switch C1002</t>
  </si>
  <si>
    <t>Get Mini PCs (Dell) workstations</t>
  </si>
  <si>
    <t>Adhelia</t>
  </si>
  <si>
    <t>Install Windows 2011 on a MiniPC</t>
  </si>
  <si>
    <t>Install Ubuntu 24.04 on a MiniPC</t>
  </si>
  <si>
    <t>Create a Physical Diagram (basic understanding)</t>
  </si>
  <si>
    <t>Create a Logical Diagram (basic understanding)</t>
  </si>
  <si>
    <t>Create a Logical Diagram (basic understanding) - continuation</t>
  </si>
  <si>
    <t>Create documentation for tasks/bill</t>
  </si>
  <si>
    <t>Initial Meeting to define tasks</t>
  </si>
  <si>
    <t>All members</t>
  </si>
  <si>
    <t>Configure Cyclades Box</t>
  </si>
  <si>
    <t>Bring routers to E1019 and erase startup config</t>
  </si>
  <si>
    <t>Yuri</t>
  </si>
  <si>
    <t>Add new configuration to router in C1002 (internal Router)</t>
  </si>
  <si>
    <t>Add new configuration to router in E1019 (external Router)</t>
  </si>
  <si>
    <t>Install tftp server for conf backup on Windows server and backup routers</t>
  </si>
  <si>
    <t>Yuri / Tyler</t>
  </si>
  <si>
    <t>Install Windows 2022 on Server and configure ip address and password</t>
  </si>
  <si>
    <t>Creating automatic backup configuration for Internal and External routers</t>
  </si>
  <si>
    <t>Map all ports and devices through show cdp neighbors</t>
  </si>
  <si>
    <t>Updated routing tables on External Router. Configured VLANs/trunk on Switches</t>
  </si>
  <si>
    <t>Research how do make a cron job to backup the routers</t>
  </si>
  <si>
    <t>Install ad configure windows server 2022 on our physical server</t>
  </si>
  <si>
    <t>Configuring the server again after finding hardware issues.</t>
  </si>
  <si>
    <t>Draw the Physical diagram topology for our network (include devices)</t>
  </si>
  <si>
    <t>Reinstalling hardware parts on the server</t>
  </si>
  <si>
    <t>Conclusion of the physical diagram (include VLANs, Ports, ip addresses)</t>
  </si>
  <si>
    <t>Verifying cable connections of mini PCs and wall jacks</t>
  </si>
  <si>
    <t>Configure ntp server on external router</t>
  </si>
  <si>
    <t>Configure new routing table on internal router</t>
  </si>
  <si>
    <t>Meeting to define project 2 task</t>
  </si>
  <si>
    <t>Create VMs on R7S6</t>
  </si>
  <si>
    <t>Help figure out the system problems with Win 11 VM</t>
  </si>
  <si>
    <t>Elianne/Tyler</t>
  </si>
  <si>
    <t>Configure the child domain on R7S6</t>
  </si>
  <si>
    <t>Configure the backup domain controller on R7S8</t>
  </si>
  <si>
    <t>Configure virtual clients on R7S6</t>
  </si>
  <si>
    <t>Configure Windows virtual client on R7S8</t>
  </si>
  <si>
    <t>Configure Linux virtual client on R7S8</t>
  </si>
  <si>
    <t>Configure ACLs on Internal Router</t>
  </si>
  <si>
    <t>Go over checklist for VM's on R7S8</t>
  </si>
  <si>
    <t>Go over checklist for VM's on R7S6</t>
  </si>
  <si>
    <t>Go over checklist for Physical Clients</t>
  </si>
  <si>
    <t>Reconfigure ACLs on Internal Router</t>
  </si>
  <si>
    <t>Configure NAT/PAT on External Router</t>
  </si>
  <si>
    <t>Configure NTP on internal router / Review automatic backup configuration / review routing table</t>
  </si>
  <si>
    <t>Configure DHCP  and create dns forwader</t>
  </si>
  <si>
    <t>Add the provided users and create the OU's</t>
  </si>
  <si>
    <t>Create Shared Folders for the OU's and limit access to only allow access to the respictive OU's</t>
  </si>
  <si>
    <t>Create a GPO to map a drive the respective shares using :U</t>
  </si>
  <si>
    <t>Create 4 Groups matching the OU's, add 4 users to each, make 4 directories for each group for linux</t>
  </si>
  <si>
    <t>Create 4 Groups matching the OU's, add 4 users to each, make 4 directories for each group for the linux VM's</t>
  </si>
  <si>
    <t>Help add the provided users</t>
  </si>
  <si>
    <t>Configure new External Router and HSRP</t>
  </si>
  <si>
    <t>Draw Network Diagram and AD Diagram</t>
  </si>
  <si>
    <t>Connect Linux client  to domain</t>
  </si>
  <si>
    <t xml:space="preserve"> Logon on Users in different OU</t>
  </si>
  <si>
    <t>Creating password and Account policy</t>
  </si>
  <si>
    <t>Creating LampServer and getting server Configuration</t>
  </si>
  <si>
    <t>Meeting to define project 3 tsak</t>
  </si>
  <si>
    <t>04-03-2025</t>
  </si>
  <si>
    <t>9am</t>
  </si>
  <si>
    <t>9:30am</t>
  </si>
  <si>
    <t>Web page</t>
  </si>
  <si>
    <t>TFTP Server</t>
  </si>
  <si>
    <t>Linux syslog</t>
  </si>
  <si>
    <t>10AM</t>
  </si>
  <si>
    <t>Configure Multilayer switch for C1002</t>
  </si>
  <si>
    <t xml:space="preserve">Deleting NAT From on Our Internal Router </t>
  </si>
  <si>
    <t>Recreating Linux Vm and getting it connected to domain</t>
  </si>
  <si>
    <t>Creating policy for technicians wallpaper</t>
  </si>
  <si>
    <t>Verifying that all host virtual and physical boxes are pointing to the correct DNS server</t>
  </si>
  <si>
    <t>Configure tftp server on Linux VM</t>
  </si>
  <si>
    <t xml:space="preserve">Create a bash script to rename files to append date and time </t>
  </si>
  <si>
    <t>Implement MLS into network in room C1002</t>
  </si>
  <si>
    <t>Test HSRP on the router in C1002</t>
  </si>
  <si>
    <t>Configure the wireless access point using web GUI</t>
  </si>
  <si>
    <t>Configuring Lamp server (Webpage)</t>
  </si>
  <si>
    <t>Get a POE+ switch from the cybersecurity storage room</t>
  </si>
  <si>
    <t>Configure the wireless access point using CLI</t>
  </si>
  <si>
    <t>Configure POE+ switch that will supply power to all teams AP's through the wall ports</t>
  </si>
  <si>
    <t>Verify that the AP is configure correctly</t>
  </si>
  <si>
    <t>Troubleshoot VLAN 133 - No connectivity for the Lamp server</t>
  </si>
  <si>
    <t>Reconfigure and troubleshoot NAT</t>
  </si>
  <si>
    <t>Yuri /Elianne</t>
  </si>
  <si>
    <t>Installing Radius Server on DC1</t>
  </si>
  <si>
    <t xml:space="preserve">Troubleshooting DNS and the access to the t3webpage. </t>
  </si>
  <si>
    <t>Creation of DNS Forward Lookup Zone and Reverse lookup zone</t>
  </si>
  <si>
    <t>Permitting pinging between our domain and Physical server</t>
  </si>
  <si>
    <t>Testing Configuration and website</t>
  </si>
  <si>
    <t>Troubleshooting AP and network connectivity with AP</t>
  </si>
  <si>
    <t>Yuri/Tyler</t>
  </si>
  <si>
    <t>Trobleshooting Radius Server on DC1</t>
  </si>
  <si>
    <t>Reconfigure and troubleshoot TFTP and Syslog server</t>
  </si>
  <si>
    <t>Reconfigure the Access Point to the new Specifications</t>
  </si>
  <si>
    <t>Configure the new Access Point</t>
  </si>
  <si>
    <t>Creating new security group for shared folder in between different teams</t>
  </si>
  <si>
    <t>Troubleshooting Linux and Windows boxes for network connectivity</t>
  </si>
  <si>
    <t>Configuring replacment router</t>
  </si>
  <si>
    <t>Tyler/Yuri</t>
  </si>
  <si>
    <t>Continuing configuration of replacment router</t>
  </si>
  <si>
    <t>Working on windows checklist as student 1</t>
  </si>
  <si>
    <t xml:space="preserve"> 15:30</t>
  </si>
  <si>
    <t>Completing creation of share folder</t>
  </si>
  <si>
    <t xml:space="preserve">Elianne </t>
  </si>
  <si>
    <t>Continuing the configuration of replacement router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</si>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</sst>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m/d/yyyy;@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Times New Roman"/>
      <family val="1"/>
    </font>
    <font>
      <b/>
      <sz val="9"/>
      <color theme="1"/>
      <name val="Aptos Narrow"/>
      <family val="2"/>
      <scheme val="minor"/>
    </font>
    <font>
      <sz val="11"/>
      <color theme="1"/>
      <name val="Times New Roman"/>
    </font>
    <font>
      <sz val="9"/>
      <color theme="1"/>
      <name val="Times New Roman"/>
    </font>
    <font>
      <sz val="10"/>
      <color theme="1"/>
      <name val="Times New Roman"/>
    </font>
    <font>
      <b/>
      <sz val="11"/>
      <color theme="1"/>
      <name val="Times New Roman"/>
    </font>
    <font>
      <b/>
      <sz val="10"/>
      <color theme="1"/>
      <name val="Times New Roman"/>
    </font>
    <font>
      <sz val="11"/>
      <color rgb="FF000000"/>
      <name val="Aptos Narrow"/>
      <charset val="1"/>
    </font>
    <font>
      <b/>
      <sz val="10"/>
      <color rgb="FF000000"/>
      <name val="Aptos Narrow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000000"/>
      <name val="Apto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1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44" fontId="3" fillId="0" borderId="0" xfId="1" applyFont="1"/>
    <xf numFmtId="0" fontId="0" fillId="0" borderId="0" xfId="0" applyAlignment="1">
      <alignment wrapText="1"/>
    </xf>
    <xf numFmtId="0" fontId="4" fillId="0" borderId="0" xfId="0" applyFont="1"/>
    <xf numFmtId="20" fontId="5" fillId="0" borderId="0" xfId="0" applyNumberFormat="1" applyFont="1" applyAlignment="1">
      <alignment vertical="center" wrapText="1"/>
    </xf>
    <xf numFmtId="0" fontId="5" fillId="0" borderId="0" xfId="0" applyFont="1" applyAlignment="1">
      <alignment vertical="center" wrapText="1"/>
    </xf>
    <xf numFmtId="14" fontId="6" fillId="0" borderId="0" xfId="0" applyNumberFormat="1" applyFont="1"/>
    <xf numFmtId="20" fontId="6" fillId="0" borderId="0" xfId="0" applyNumberFormat="1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vertical="center" wrapText="1"/>
    </xf>
    <xf numFmtId="44" fontId="6" fillId="0" borderId="0" xfId="1" applyFont="1" applyAlignment="1">
      <alignment vertical="center" wrapText="1"/>
    </xf>
    <xf numFmtId="14" fontId="4" fillId="0" borderId="0" xfId="0" applyNumberFormat="1" applyFont="1"/>
    <xf numFmtId="8" fontId="4" fillId="0" borderId="0" xfId="0" applyNumberFormat="1" applyFont="1"/>
    <xf numFmtId="0" fontId="8" fillId="0" borderId="0" xfId="0" applyFont="1"/>
    <xf numFmtId="44" fontId="8" fillId="0" borderId="0" xfId="1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wrapText="1"/>
    </xf>
    <xf numFmtId="44" fontId="8" fillId="0" borderId="0" xfId="1" applyFont="1"/>
    <xf numFmtId="44" fontId="5" fillId="0" borderId="0" xfId="1" applyFont="1" applyAlignment="1">
      <alignment vertical="center" wrapText="1"/>
    </xf>
    <xf numFmtId="9" fontId="4" fillId="0" borderId="0" xfId="0" applyNumberFormat="1" applyFont="1"/>
    <xf numFmtId="0" fontId="8" fillId="0" borderId="0" xfId="1" applyNumberFormat="1" applyFont="1" applyAlignment="1">
      <alignment vertical="center" wrapText="1"/>
    </xf>
    <xf numFmtId="0" fontId="2" fillId="0" borderId="0" xfId="1" applyNumberFormat="1" applyFont="1" applyAlignment="1">
      <alignment vertical="center" wrapText="1"/>
    </xf>
    <xf numFmtId="44" fontId="2" fillId="0" borderId="0" xfId="1" applyFont="1" applyAlignment="1">
      <alignment vertical="center" wrapText="1"/>
    </xf>
    <xf numFmtId="9" fontId="0" fillId="0" borderId="0" xfId="0" applyNumberFormat="1"/>
    <xf numFmtId="14" fontId="0" fillId="0" borderId="0" xfId="0" applyNumberFormat="1"/>
    <xf numFmtId="20" fontId="0" fillId="0" borderId="0" xfId="0" applyNumberFormat="1"/>
    <xf numFmtId="164" fontId="5" fillId="0" borderId="0" xfId="0" applyNumberFormat="1" applyFont="1" applyAlignment="1">
      <alignment vertical="center" wrapText="1"/>
    </xf>
    <xf numFmtId="44" fontId="5" fillId="0" borderId="0" xfId="1" applyFont="1" applyFill="1" applyAlignment="1">
      <alignment vertical="center" wrapText="1"/>
    </xf>
    <xf numFmtId="0" fontId="9" fillId="0" borderId="0" xfId="0" applyFont="1"/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/>
    <xf numFmtId="0" fontId="12" fillId="0" borderId="0" xfId="0" applyFont="1"/>
    <xf numFmtId="44" fontId="12" fillId="0" borderId="0" xfId="0" applyNumberFormat="1" applyFont="1"/>
    <xf numFmtId="18" fontId="0" fillId="0" borderId="0" xfId="0" applyNumberFormat="1"/>
    <xf numFmtId="0" fontId="0" fillId="2" borderId="0" xfId="0" applyFill="1"/>
    <xf numFmtId="0" fontId="9" fillId="2" borderId="0" xfId="0" applyFont="1" applyFill="1"/>
    <xf numFmtId="44" fontId="5" fillId="2" borderId="0" xfId="1" applyFont="1" applyFill="1" applyAlignment="1">
      <alignment vertical="center" wrapText="1"/>
    </xf>
    <xf numFmtId="0" fontId="13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469AB-CD82-457B-8F2F-7B747C697845}">
  <dimension ref="A2:R100"/>
  <sheetViews>
    <sheetView topLeftCell="A80" workbookViewId="0">
      <selection activeCell="A96" sqref="A96:A98"/>
    </sheetView>
  </sheetViews>
  <sheetFormatPr defaultRowHeight="14.45"/>
  <cols>
    <col min="1" max="1" width="6.5703125" bestFit="1" customWidth="1"/>
    <col min="2" max="2" width="86.7109375" bestFit="1" customWidth="1"/>
    <col min="3" max="3" width="14.7109375" bestFit="1" customWidth="1"/>
    <col min="4" max="4" width="14.7109375" customWidth="1"/>
    <col min="5" max="5" width="10.28515625" bestFit="1" customWidth="1"/>
    <col min="6" max="7" width="9.5703125" bestFit="1" customWidth="1"/>
    <col min="8" max="8" width="14.28515625" bestFit="1" customWidth="1"/>
    <col min="9" max="9" width="16.5703125" bestFit="1" customWidth="1"/>
    <col min="10" max="10" width="10.5703125" customWidth="1"/>
    <col min="11" max="11" width="7" bestFit="1" customWidth="1"/>
    <col min="12" max="12" width="9.85546875" bestFit="1" customWidth="1"/>
    <col min="14" max="14" width="12.140625" customWidth="1"/>
    <col min="16" max="16" width="13.85546875" customWidth="1"/>
    <col min="18" max="18" width="11.85546875" customWidth="1"/>
  </cols>
  <sheetData>
    <row r="2" spans="1:18" ht="26.45">
      <c r="A2" s="17" t="s">
        <v>0</v>
      </c>
      <c r="B2" s="17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7" t="s">
        <v>9</v>
      </c>
      <c r="K2" s="17" t="s">
        <v>10</v>
      </c>
      <c r="L2" s="17" t="s">
        <v>11</v>
      </c>
      <c r="N2" s="18" t="s">
        <v>12</v>
      </c>
      <c r="O2" s="15"/>
      <c r="P2" s="19" t="s">
        <v>13</v>
      </c>
      <c r="Q2" s="19" t="s">
        <v>10</v>
      </c>
      <c r="R2" s="19" t="s">
        <v>11</v>
      </c>
    </row>
    <row r="3" spans="1:18">
      <c r="A3" s="5">
        <v>3000</v>
      </c>
      <c r="B3" s="5" t="s">
        <v>14</v>
      </c>
      <c r="C3" s="5" t="s">
        <v>15</v>
      </c>
      <c r="D3" s="21">
        <v>1</v>
      </c>
      <c r="E3" s="28">
        <v>45671</v>
      </c>
      <c r="F3" s="6">
        <v>0.4375</v>
      </c>
      <c r="G3" s="6">
        <v>0.52083333333333337</v>
      </c>
      <c r="H3" s="7">
        <v>3</v>
      </c>
      <c r="I3" s="7">
        <v>75</v>
      </c>
      <c r="J3" s="29">
        <f t="shared" ref="J3:J14" si="0">H3*I3</f>
        <v>225</v>
      </c>
      <c r="K3" s="29">
        <f t="shared" ref="K3:K14" si="1">J3*0.15</f>
        <v>33.75</v>
      </c>
      <c r="L3" s="29">
        <f t="shared" ref="L3:L9" si="2">J3+K3</f>
        <v>258.75</v>
      </c>
      <c r="N3" s="22">
        <f>SUM(H3:H100)</f>
        <v>148.25</v>
      </c>
      <c r="O3" s="16"/>
      <c r="P3" s="16">
        <f>SUM(J3:J100)</f>
        <v>11118.75</v>
      </c>
      <c r="Q3" s="16">
        <f>SUM(K3:K100)</f>
        <v>1667.8150000000001</v>
      </c>
      <c r="R3" s="16">
        <f>SUM(L3:L100)</f>
        <v>12959.065000000001</v>
      </c>
    </row>
    <row r="4" spans="1:18">
      <c r="A4" s="5">
        <v>3001</v>
      </c>
      <c r="B4" s="5" t="s">
        <v>16</v>
      </c>
      <c r="C4" s="5" t="s">
        <v>17</v>
      </c>
      <c r="D4" s="21">
        <v>1</v>
      </c>
      <c r="E4" s="28">
        <v>45671</v>
      </c>
      <c r="F4" s="6">
        <v>0.41666666666666669</v>
      </c>
      <c r="G4" s="6">
        <v>0.45833333333333331</v>
      </c>
      <c r="H4" s="7">
        <v>1</v>
      </c>
      <c r="I4" s="7">
        <v>75</v>
      </c>
      <c r="J4" s="29">
        <f t="shared" si="0"/>
        <v>75</v>
      </c>
      <c r="K4" s="29">
        <f t="shared" si="1"/>
        <v>11.25</v>
      </c>
      <c r="L4" s="29">
        <f t="shared" si="2"/>
        <v>86.25</v>
      </c>
    </row>
    <row r="5" spans="1:18">
      <c r="A5" s="5">
        <v>3002</v>
      </c>
      <c r="B5" s="5" t="s">
        <v>18</v>
      </c>
      <c r="C5" s="5" t="s">
        <v>19</v>
      </c>
      <c r="D5" s="21">
        <v>1</v>
      </c>
      <c r="E5" s="28">
        <v>45671</v>
      </c>
      <c r="F5" s="6">
        <v>0.44791666666666669</v>
      </c>
      <c r="G5" s="6">
        <v>0.47916666666666669</v>
      </c>
      <c r="H5" s="7">
        <v>0.75</v>
      </c>
      <c r="I5" s="7">
        <v>75</v>
      </c>
      <c r="J5" s="29">
        <f t="shared" si="0"/>
        <v>56.25</v>
      </c>
      <c r="K5" s="29">
        <f t="shared" si="1"/>
        <v>8.4375</v>
      </c>
      <c r="L5" s="29">
        <f t="shared" si="2"/>
        <v>64.6875</v>
      </c>
    </row>
    <row r="6" spans="1:18" ht="26.45">
      <c r="A6" s="5">
        <v>3004</v>
      </c>
      <c r="B6" s="5" t="s">
        <v>20</v>
      </c>
      <c r="C6" s="5" t="s">
        <v>19</v>
      </c>
      <c r="D6" s="21">
        <v>1</v>
      </c>
      <c r="E6" s="28">
        <v>45671</v>
      </c>
      <c r="F6" s="6">
        <v>0.47916666666666669</v>
      </c>
      <c r="G6" s="6">
        <v>0.5</v>
      </c>
      <c r="H6" s="7">
        <v>0.5</v>
      </c>
      <c r="I6" s="7">
        <v>75</v>
      </c>
      <c r="J6" s="29">
        <f t="shared" si="0"/>
        <v>37.5</v>
      </c>
      <c r="K6" s="29">
        <f t="shared" si="1"/>
        <v>5.625</v>
      </c>
      <c r="L6" s="29">
        <f t="shared" si="2"/>
        <v>43.125</v>
      </c>
      <c r="N6" s="32" t="s">
        <v>12</v>
      </c>
      <c r="P6" s="34" t="s">
        <v>13</v>
      </c>
      <c r="Q6" s="34" t="s">
        <v>10</v>
      </c>
      <c r="R6" s="34" t="s">
        <v>11</v>
      </c>
    </row>
    <row r="7" spans="1:18">
      <c r="A7" s="5">
        <v>3005</v>
      </c>
      <c r="B7" s="5" t="s">
        <v>21</v>
      </c>
      <c r="C7" s="5" t="s">
        <v>22</v>
      </c>
      <c r="D7" s="21">
        <v>1</v>
      </c>
      <c r="E7" s="28">
        <v>45671</v>
      </c>
      <c r="F7" s="6">
        <v>0.35416666666666669</v>
      </c>
      <c r="G7" s="6">
        <v>0.47916666666666669</v>
      </c>
      <c r="H7" s="7">
        <v>3</v>
      </c>
      <c r="I7" s="7">
        <v>75</v>
      </c>
      <c r="J7" s="29">
        <f t="shared" si="0"/>
        <v>225</v>
      </c>
      <c r="K7" s="29">
        <f t="shared" si="1"/>
        <v>33.75</v>
      </c>
      <c r="L7" s="29">
        <f t="shared" si="2"/>
        <v>258.75</v>
      </c>
      <c r="N7" s="33">
        <f>SUM(H31:H58)</f>
        <v>40.75</v>
      </c>
      <c r="P7" s="35">
        <f>SUM(J31:J58)</f>
        <v>3056.25</v>
      </c>
      <c r="Q7" s="35">
        <f>SUM(K31:K58)</f>
        <v>458.4375</v>
      </c>
      <c r="R7" s="35">
        <f>SUM(L31:L58)</f>
        <v>3514.6875</v>
      </c>
    </row>
    <row r="8" spans="1:18">
      <c r="A8" s="5">
        <v>3006</v>
      </c>
      <c r="B8" s="5" t="s">
        <v>23</v>
      </c>
      <c r="C8" s="5" t="s">
        <v>22</v>
      </c>
      <c r="D8" s="21">
        <v>1</v>
      </c>
      <c r="E8" s="28">
        <v>45672</v>
      </c>
      <c r="F8" s="6">
        <v>0.5625</v>
      </c>
      <c r="G8" s="6">
        <v>0.64583333333333337</v>
      </c>
      <c r="H8" s="7">
        <v>2</v>
      </c>
      <c r="I8" s="7">
        <v>75</v>
      </c>
      <c r="J8" s="29">
        <f t="shared" si="0"/>
        <v>150</v>
      </c>
      <c r="K8" s="29">
        <f t="shared" si="1"/>
        <v>22.5</v>
      </c>
      <c r="L8" s="29">
        <f t="shared" si="2"/>
        <v>172.5</v>
      </c>
    </row>
    <row r="9" spans="1:18">
      <c r="A9" s="5">
        <v>3007</v>
      </c>
      <c r="B9" s="5" t="s">
        <v>24</v>
      </c>
      <c r="C9" s="5" t="s">
        <v>15</v>
      </c>
      <c r="D9" s="21">
        <v>1</v>
      </c>
      <c r="E9" s="28">
        <v>45671</v>
      </c>
      <c r="F9" s="6">
        <v>0.35416666666666669</v>
      </c>
      <c r="G9" s="6">
        <v>0.41666666666666669</v>
      </c>
      <c r="H9" s="7">
        <v>1.5</v>
      </c>
      <c r="I9" s="7">
        <v>75</v>
      </c>
      <c r="J9" s="29">
        <f t="shared" si="0"/>
        <v>112.5</v>
      </c>
      <c r="K9" s="29">
        <f t="shared" si="1"/>
        <v>16.875</v>
      </c>
      <c r="L9" s="29">
        <f t="shared" si="2"/>
        <v>129.375</v>
      </c>
    </row>
    <row r="10" spans="1:18">
      <c r="A10" s="5">
        <v>3008</v>
      </c>
      <c r="B10" s="5" t="s">
        <v>25</v>
      </c>
      <c r="C10" s="5" t="s">
        <v>15</v>
      </c>
      <c r="D10" s="21">
        <v>1</v>
      </c>
      <c r="E10" s="28">
        <v>45678</v>
      </c>
      <c r="F10" s="6">
        <v>0.5625</v>
      </c>
      <c r="G10" s="6">
        <v>0.60416666666666663</v>
      </c>
      <c r="H10" s="7">
        <v>1</v>
      </c>
      <c r="I10" s="7">
        <v>75</v>
      </c>
      <c r="J10" s="29">
        <f t="shared" si="0"/>
        <v>75</v>
      </c>
      <c r="K10" s="29">
        <f t="shared" si="1"/>
        <v>11.25</v>
      </c>
      <c r="L10" s="29">
        <v>258.75</v>
      </c>
    </row>
    <row r="11" spans="1:18">
      <c r="A11" s="5">
        <v>3009</v>
      </c>
      <c r="B11" s="5" t="s">
        <v>26</v>
      </c>
      <c r="C11" s="5" t="s">
        <v>22</v>
      </c>
      <c r="D11" s="21">
        <v>1</v>
      </c>
      <c r="E11" s="28">
        <v>45678</v>
      </c>
      <c r="F11" s="6">
        <v>0.39583333333333331</v>
      </c>
      <c r="G11" s="6">
        <v>0.52083333333333337</v>
      </c>
      <c r="H11" s="7">
        <v>3</v>
      </c>
      <c r="I11" s="7">
        <v>75</v>
      </c>
      <c r="J11" s="29">
        <f t="shared" si="0"/>
        <v>225</v>
      </c>
      <c r="K11" s="29">
        <f t="shared" si="1"/>
        <v>33.75</v>
      </c>
      <c r="L11" s="29">
        <v>258.75</v>
      </c>
    </row>
    <row r="12" spans="1:18">
      <c r="A12" s="5">
        <v>3009</v>
      </c>
      <c r="B12" s="5" t="s">
        <v>27</v>
      </c>
      <c r="C12" s="5" t="s">
        <v>22</v>
      </c>
      <c r="D12" s="21">
        <v>1</v>
      </c>
      <c r="E12" s="28">
        <v>45678</v>
      </c>
      <c r="F12" s="6">
        <v>0.5625</v>
      </c>
      <c r="G12" s="6">
        <v>0.64583333333333337</v>
      </c>
      <c r="H12" s="7">
        <v>3</v>
      </c>
      <c r="I12" s="7">
        <v>75</v>
      </c>
      <c r="J12" s="29">
        <f t="shared" si="0"/>
        <v>225</v>
      </c>
      <c r="K12" s="29">
        <f t="shared" si="1"/>
        <v>33.75</v>
      </c>
      <c r="L12" s="29">
        <v>258.75</v>
      </c>
    </row>
    <row r="13" spans="1:18">
      <c r="A13" s="5">
        <v>3010</v>
      </c>
      <c r="B13" s="5" t="s">
        <v>28</v>
      </c>
      <c r="C13" s="5" t="s">
        <v>17</v>
      </c>
      <c r="D13" s="21">
        <v>1</v>
      </c>
      <c r="E13" s="8">
        <v>45671</v>
      </c>
      <c r="F13" s="9">
        <v>0.41666666666666669</v>
      </c>
      <c r="G13" s="9">
        <v>0.45833333333333331</v>
      </c>
      <c r="H13" s="10">
        <v>1</v>
      </c>
      <c r="I13" s="11">
        <v>75</v>
      </c>
      <c r="J13" s="12">
        <f t="shared" si="0"/>
        <v>75</v>
      </c>
      <c r="K13" s="12">
        <f t="shared" si="1"/>
        <v>11.25</v>
      </c>
      <c r="L13" s="12">
        <f>J13+K13</f>
        <v>86.25</v>
      </c>
    </row>
    <row r="14" spans="1:18">
      <c r="A14" s="5">
        <v>3011</v>
      </c>
      <c r="B14" s="5" t="s">
        <v>29</v>
      </c>
      <c r="C14" s="5" t="s">
        <v>30</v>
      </c>
      <c r="D14" s="21">
        <v>1</v>
      </c>
      <c r="E14" s="5"/>
      <c r="F14" s="6">
        <v>0.35416666666666669</v>
      </c>
      <c r="G14" s="6">
        <v>0.39583333333333331</v>
      </c>
      <c r="H14" s="5">
        <v>1</v>
      </c>
      <c r="I14" s="7">
        <v>75</v>
      </c>
      <c r="J14" s="20">
        <f t="shared" si="0"/>
        <v>75</v>
      </c>
      <c r="K14" s="20">
        <f t="shared" si="1"/>
        <v>11.25</v>
      </c>
      <c r="L14" s="20">
        <f>J14+K14</f>
        <v>86.25</v>
      </c>
    </row>
    <row r="15" spans="1:18">
      <c r="A15" s="5">
        <v>3012</v>
      </c>
      <c r="B15" s="5" t="s">
        <v>31</v>
      </c>
      <c r="C15" s="5" t="s">
        <v>19</v>
      </c>
      <c r="D15" s="21">
        <v>1</v>
      </c>
      <c r="E15" s="13">
        <v>45671</v>
      </c>
      <c r="F15" s="6">
        <v>0.40625</v>
      </c>
      <c r="G15" s="6">
        <v>0.4375</v>
      </c>
      <c r="H15" s="5">
        <v>0.75</v>
      </c>
      <c r="I15" s="5">
        <v>75</v>
      </c>
      <c r="J15" s="14">
        <v>56.25</v>
      </c>
      <c r="K15" s="14">
        <v>8.44</v>
      </c>
      <c r="L15" s="14">
        <v>64.69</v>
      </c>
    </row>
    <row r="16" spans="1:18">
      <c r="A16" s="5">
        <v>3013</v>
      </c>
      <c r="B16" s="5" t="s">
        <v>32</v>
      </c>
      <c r="C16" s="5" t="s">
        <v>33</v>
      </c>
      <c r="D16" s="21">
        <v>1</v>
      </c>
      <c r="E16" s="13">
        <v>45665</v>
      </c>
      <c r="F16" s="6">
        <v>0.41666666666666669</v>
      </c>
      <c r="G16" s="6">
        <v>0.45833333333333331</v>
      </c>
      <c r="H16" s="7">
        <v>1</v>
      </c>
      <c r="I16" s="7">
        <v>75</v>
      </c>
      <c r="J16" s="20">
        <f>H16*I16</f>
        <v>75</v>
      </c>
      <c r="K16" s="20">
        <f>J16*0.15</f>
        <v>11.25</v>
      </c>
      <c r="L16" s="20">
        <f>J16+K16</f>
        <v>86.25</v>
      </c>
    </row>
    <row r="17" spans="1:12">
      <c r="A17" s="5">
        <v>3014</v>
      </c>
      <c r="B17" s="5" t="s">
        <v>34</v>
      </c>
      <c r="C17" s="5" t="s">
        <v>19</v>
      </c>
      <c r="D17" s="21">
        <v>1</v>
      </c>
      <c r="E17" s="13">
        <v>45678</v>
      </c>
      <c r="F17" s="6">
        <v>0.375</v>
      </c>
      <c r="G17" s="6">
        <v>0.41666666666666669</v>
      </c>
      <c r="H17" s="5">
        <v>1</v>
      </c>
      <c r="I17" s="5">
        <v>75</v>
      </c>
      <c r="J17" s="14">
        <v>75</v>
      </c>
      <c r="K17" s="14">
        <v>11.25</v>
      </c>
      <c r="L17" s="14">
        <v>86.25</v>
      </c>
    </row>
    <row r="18" spans="1:12">
      <c r="A18" s="5">
        <v>3015</v>
      </c>
      <c r="B18" s="5" t="s">
        <v>35</v>
      </c>
      <c r="C18" s="5" t="s">
        <v>17</v>
      </c>
      <c r="D18" s="21">
        <v>1</v>
      </c>
      <c r="E18" s="13">
        <v>45678</v>
      </c>
      <c r="F18" s="6">
        <v>0.375</v>
      </c>
      <c r="G18" s="6">
        <v>0.41666666666666669</v>
      </c>
      <c r="H18" s="5">
        <v>1</v>
      </c>
      <c r="I18" s="5">
        <v>75</v>
      </c>
      <c r="J18" s="14">
        <v>75</v>
      </c>
      <c r="K18" s="14">
        <v>11.25</v>
      </c>
      <c r="L18" s="14">
        <v>86.25</v>
      </c>
    </row>
    <row r="19" spans="1:12">
      <c r="A19" s="5">
        <v>3017</v>
      </c>
      <c r="B19" s="5" t="s">
        <v>36</v>
      </c>
      <c r="C19" s="5" t="s">
        <v>37</v>
      </c>
      <c r="D19" s="21">
        <v>1</v>
      </c>
      <c r="E19" s="13">
        <v>45679</v>
      </c>
      <c r="F19" s="6">
        <v>0.375</v>
      </c>
      <c r="G19" s="6">
        <v>0.41666666666666669</v>
      </c>
      <c r="H19" s="5">
        <v>1</v>
      </c>
      <c r="I19" s="5">
        <v>75</v>
      </c>
      <c r="J19" s="14">
        <v>75</v>
      </c>
      <c r="K19" s="14">
        <v>11.25</v>
      </c>
      <c r="L19" s="14">
        <v>86.25</v>
      </c>
    </row>
    <row r="20" spans="1:12">
      <c r="A20" s="5">
        <v>3018</v>
      </c>
      <c r="B20" s="5" t="s">
        <v>38</v>
      </c>
      <c r="C20" s="5" t="s">
        <v>15</v>
      </c>
      <c r="D20" s="21">
        <v>1</v>
      </c>
      <c r="E20" s="13">
        <v>56636</v>
      </c>
      <c r="F20" s="6">
        <v>0.45833333333333331</v>
      </c>
      <c r="G20" s="6">
        <v>0.52083333333333337</v>
      </c>
      <c r="H20" s="5">
        <v>1.5</v>
      </c>
      <c r="I20" s="5">
        <v>75</v>
      </c>
      <c r="J20" s="29">
        <f t="shared" ref="J20:J32" si="3">H20*I20</f>
        <v>112.5</v>
      </c>
      <c r="K20" s="29">
        <f t="shared" ref="K20:K32" si="4">J20*0.15</f>
        <v>16.875</v>
      </c>
      <c r="L20" s="29">
        <f t="shared" ref="L20:L32" si="5">J20+K20</f>
        <v>129.375</v>
      </c>
    </row>
    <row r="21" spans="1:12">
      <c r="A21" s="5">
        <v>3019</v>
      </c>
      <c r="B21" t="s">
        <v>39</v>
      </c>
      <c r="C21" t="s">
        <v>33</v>
      </c>
      <c r="D21" s="21">
        <v>1</v>
      </c>
      <c r="E21" s="13">
        <v>45685</v>
      </c>
      <c r="F21" s="6">
        <v>0.375</v>
      </c>
      <c r="G21" s="6">
        <v>0.4375</v>
      </c>
      <c r="H21" s="5">
        <v>1.5</v>
      </c>
      <c r="I21" s="5">
        <v>75</v>
      </c>
      <c r="J21" s="20">
        <f t="shared" si="3"/>
        <v>112.5</v>
      </c>
      <c r="K21" s="20">
        <f t="shared" si="4"/>
        <v>16.875</v>
      </c>
      <c r="L21" s="20">
        <f t="shared" si="5"/>
        <v>129.375</v>
      </c>
    </row>
    <row r="22" spans="1:12">
      <c r="A22" s="5">
        <v>3020</v>
      </c>
      <c r="B22" t="s">
        <v>40</v>
      </c>
      <c r="C22" t="s">
        <v>33</v>
      </c>
      <c r="D22" s="21">
        <v>1</v>
      </c>
      <c r="E22" s="13">
        <v>45686</v>
      </c>
      <c r="F22" s="6">
        <v>0.375</v>
      </c>
      <c r="G22" s="6">
        <v>0.4375</v>
      </c>
      <c r="H22" s="5">
        <v>1.5</v>
      </c>
      <c r="I22" s="5">
        <v>75</v>
      </c>
      <c r="J22" s="20">
        <f t="shared" si="3"/>
        <v>112.5</v>
      </c>
      <c r="K22" s="20">
        <f t="shared" si="4"/>
        <v>16.875</v>
      </c>
      <c r="L22" s="20">
        <f t="shared" si="5"/>
        <v>129.375</v>
      </c>
    </row>
    <row r="23" spans="1:12">
      <c r="A23" s="5">
        <v>3021</v>
      </c>
      <c r="B23" t="s">
        <v>41</v>
      </c>
      <c r="C23" t="s">
        <v>33</v>
      </c>
      <c r="D23" s="21">
        <v>1</v>
      </c>
      <c r="E23" s="13">
        <v>45686</v>
      </c>
      <c r="F23" s="6">
        <v>0.5625</v>
      </c>
      <c r="G23" s="6">
        <v>0.625</v>
      </c>
      <c r="H23" s="5">
        <v>1.5</v>
      </c>
      <c r="I23" s="5">
        <v>75</v>
      </c>
      <c r="J23" s="20">
        <f t="shared" si="3"/>
        <v>112.5</v>
      </c>
      <c r="K23" s="20">
        <f t="shared" si="4"/>
        <v>16.875</v>
      </c>
      <c r="L23" s="20">
        <f t="shared" si="5"/>
        <v>129.375</v>
      </c>
    </row>
    <row r="24" spans="1:12">
      <c r="A24" s="5">
        <v>3022</v>
      </c>
      <c r="B24" t="s">
        <v>42</v>
      </c>
      <c r="C24" t="s">
        <v>19</v>
      </c>
      <c r="D24" s="25">
        <v>1</v>
      </c>
      <c r="E24" s="26">
        <v>45685</v>
      </c>
      <c r="F24" s="27">
        <v>0.375</v>
      </c>
      <c r="G24" s="27">
        <v>0.41666666666666669</v>
      </c>
      <c r="H24">
        <v>1</v>
      </c>
      <c r="I24">
        <v>75</v>
      </c>
      <c r="J24" s="20">
        <f t="shared" si="3"/>
        <v>75</v>
      </c>
      <c r="K24" s="20">
        <f t="shared" si="4"/>
        <v>11.25</v>
      </c>
      <c r="L24" s="20">
        <f t="shared" si="5"/>
        <v>86.25</v>
      </c>
    </row>
    <row r="25" spans="1:12">
      <c r="A25" s="5">
        <v>3023</v>
      </c>
      <c r="B25" t="s">
        <v>43</v>
      </c>
      <c r="C25" t="s">
        <v>15</v>
      </c>
      <c r="D25" s="25">
        <v>1</v>
      </c>
      <c r="E25" s="26">
        <v>45671</v>
      </c>
      <c r="F25" s="27">
        <v>0.35416666666666669</v>
      </c>
      <c r="G25" s="27">
        <v>0.41666666666666669</v>
      </c>
      <c r="H25">
        <v>1.5</v>
      </c>
      <c r="I25">
        <v>75</v>
      </c>
      <c r="J25" s="20">
        <f t="shared" si="3"/>
        <v>112.5</v>
      </c>
      <c r="K25" s="20">
        <f t="shared" si="4"/>
        <v>16.875</v>
      </c>
      <c r="L25" s="20">
        <f t="shared" si="5"/>
        <v>129.375</v>
      </c>
    </row>
    <row r="26" spans="1:12">
      <c r="A26" s="5">
        <v>3024</v>
      </c>
      <c r="B26" t="s">
        <v>44</v>
      </c>
      <c r="C26" t="s">
        <v>15</v>
      </c>
      <c r="D26" s="25">
        <v>1</v>
      </c>
      <c r="E26" s="26">
        <v>45672</v>
      </c>
      <c r="F26" s="27">
        <v>0.5625</v>
      </c>
      <c r="G26" s="27">
        <v>0.64583333333333337</v>
      </c>
      <c r="H26">
        <v>2</v>
      </c>
      <c r="I26">
        <v>75</v>
      </c>
      <c r="J26" s="20">
        <f t="shared" si="3"/>
        <v>150</v>
      </c>
      <c r="K26" s="20">
        <f t="shared" si="4"/>
        <v>22.5</v>
      </c>
      <c r="L26" s="20">
        <f t="shared" si="5"/>
        <v>172.5</v>
      </c>
    </row>
    <row r="27" spans="1:12">
      <c r="A27" s="5">
        <v>3025</v>
      </c>
      <c r="B27" t="s">
        <v>45</v>
      </c>
      <c r="C27" t="s">
        <v>15</v>
      </c>
      <c r="D27" s="25">
        <v>1</v>
      </c>
      <c r="E27" s="26">
        <v>45678</v>
      </c>
      <c r="F27" s="27">
        <v>0.5625</v>
      </c>
      <c r="G27" s="27">
        <v>0.60416666666666663</v>
      </c>
      <c r="H27">
        <v>1</v>
      </c>
      <c r="I27">
        <v>75</v>
      </c>
      <c r="J27" s="20">
        <f t="shared" si="3"/>
        <v>75</v>
      </c>
      <c r="K27" s="20">
        <f t="shared" si="4"/>
        <v>11.25</v>
      </c>
      <c r="L27" s="20">
        <f t="shared" si="5"/>
        <v>86.25</v>
      </c>
    </row>
    <row r="28" spans="1:12">
      <c r="A28" s="5">
        <v>3026</v>
      </c>
      <c r="B28" t="s">
        <v>46</v>
      </c>
      <c r="C28" t="s">
        <v>15</v>
      </c>
      <c r="D28" s="21">
        <v>1</v>
      </c>
      <c r="E28" s="13">
        <v>45685</v>
      </c>
      <c r="F28" s="27">
        <v>0.35416666666666669</v>
      </c>
      <c r="G28" s="27">
        <v>0.41666666666666669</v>
      </c>
      <c r="H28">
        <v>1.5</v>
      </c>
      <c r="I28" s="5">
        <v>75</v>
      </c>
      <c r="J28" s="20">
        <f t="shared" si="3"/>
        <v>112.5</v>
      </c>
      <c r="K28" s="20">
        <f t="shared" si="4"/>
        <v>16.875</v>
      </c>
      <c r="L28" s="20">
        <f t="shared" si="5"/>
        <v>129.375</v>
      </c>
    </row>
    <row r="29" spans="1:12">
      <c r="A29" s="5">
        <v>3027</v>
      </c>
      <c r="B29" t="s">
        <v>47</v>
      </c>
      <c r="C29" t="s">
        <v>15</v>
      </c>
      <c r="D29" s="21">
        <v>1</v>
      </c>
      <c r="E29" s="26">
        <v>45686</v>
      </c>
      <c r="F29" s="27">
        <v>0.5625</v>
      </c>
      <c r="G29" s="27">
        <v>0.60416666666666663</v>
      </c>
      <c r="H29">
        <v>1</v>
      </c>
      <c r="I29">
        <v>75</v>
      </c>
      <c r="J29" s="20">
        <f t="shared" si="3"/>
        <v>75</v>
      </c>
      <c r="K29" s="20">
        <f t="shared" si="4"/>
        <v>11.25</v>
      </c>
      <c r="L29" s="20">
        <f t="shared" si="5"/>
        <v>86.25</v>
      </c>
    </row>
    <row r="30" spans="1:12">
      <c r="A30" s="5">
        <v>3028</v>
      </c>
      <c r="B30" t="s">
        <v>48</v>
      </c>
      <c r="C30" t="s">
        <v>22</v>
      </c>
      <c r="D30" s="21">
        <v>1</v>
      </c>
      <c r="E30" s="26">
        <v>45685</v>
      </c>
      <c r="F30" s="27">
        <v>0.39583333333333331</v>
      </c>
      <c r="G30" s="27">
        <v>0.4375</v>
      </c>
      <c r="H30">
        <v>1</v>
      </c>
      <c r="I30">
        <v>75</v>
      </c>
      <c r="J30" s="20">
        <f t="shared" si="3"/>
        <v>75</v>
      </c>
      <c r="K30" s="20">
        <f t="shared" si="4"/>
        <v>11.25</v>
      </c>
      <c r="L30" s="20">
        <f t="shared" si="5"/>
        <v>86.25</v>
      </c>
    </row>
    <row r="31" spans="1:12">
      <c r="A31" s="5">
        <v>3029</v>
      </c>
      <c r="B31" t="s">
        <v>49</v>
      </c>
      <c r="C31" t="s">
        <v>33</v>
      </c>
      <c r="D31" s="21">
        <v>1</v>
      </c>
      <c r="E31" s="26">
        <v>45692</v>
      </c>
      <c r="F31" s="27">
        <v>0.39583333333333331</v>
      </c>
      <c r="G31" s="27">
        <v>0.4375</v>
      </c>
      <c r="H31">
        <v>1</v>
      </c>
      <c r="I31">
        <v>75</v>
      </c>
      <c r="J31" s="20">
        <f t="shared" si="3"/>
        <v>75</v>
      </c>
      <c r="K31" s="20">
        <f t="shared" si="4"/>
        <v>11.25</v>
      </c>
      <c r="L31" s="20">
        <f t="shared" si="5"/>
        <v>86.25</v>
      </c>
    </row>
    <row r="32" spans="1:12">
      <c r="A32" s="5">
        <v>3030</v>
      </c>
      <c r="B32" t="s">
        <v>50</v>
      </c>
      <c r="C32" t="s">
        <v>33</v>
      </c>
      <c r="D32" s="21">
        <v>1</v>
      </c>
      <c r="E32" s="26">
        <v>45692</v>
      </c>
      <c r="F32" s="27">
        <v>0.4375</v>
      </c>
      <c r="G32" s="27">
        <v>0.5</v>
      </c>
      <c r="H32">
        <v>1.5</v>
      </c>
      <c r="I32">
        <v>75</v>
      </c>
      <c r="J32" s="20">
        <f t="shared" si="3"/>
        <v>112.5</v>
      </c>
      <c r="K32" s="20">
        <f t="shared" si="4"/>
        <v>16.875</v>
      </c>
      <c r="L32" s="20">
        <f t="shared" si="5"/>
        <v>129.375</v>
      </c>
    </row>
    <row r="33" spans="1:12">
      <c r="A33" s="5">
        <v>3031</v>
      </c>
      <c r="B33" t="s">
        <v>51</v>
      </c>
      <c r="C33" t="s">
        <v>30</v>
      </c>
      <c r="D33" s="25">
        <v>1</v>
      </c>
      <c r="E33" s="26">
        <v>45692</v>
      </c>
      <c r="F33" s="27">
        <v>0.375</v>
      </c>
      <c r="G33" s="27">
        <v>0.39583333333333331</v>
      </c>
      <c r="H33">
        <v>0.5</v>
      </c>
      <c r="I33">
        <v>75</v>
      </c>
      <c r="J33" s="20">
        <f t="shared" ref="J33:J60" si="6">H33*I33</f>
        <v>37.5</v>
      </c>
      <c r="K33" s="20">
        <f t="shared" ref="K33:K60" si="7">J33*0.15</f>
        <v>5.625</v>
      </c>
      <c r="L33" s="20">
        <f t="shared" ref="L33:L60" si="8">J33+K33</f>
        <v>43.125</v>
      </c>
    </row>
    <row r="34" spans="1:12">
      <c r="A34" s="5">
        <v>3032</v>
      </c>
      <c r="B34" t="s">
        <v>52</v>
      </c>
      <c r="C34" t="s">
        <v>22</v>
      </c>
      <c r="D34" s="25">
        <v>1</v>
      </c>
      <c r="E34" s="26">
        <v>45692</v>
      </c>
      <c r="F34" s="27">
        <v>0.39583333333333331</v>
      </c>
      <c r="G34" s="27">
        <v>0.52083333333333337</v>
      </c>
      <c r="H34">
        <v>3</v>
      </c>
      <c r="I34">
        <v>75</v>
      </c>
      <c r="J34" s="20">
        <f t="shared" si="6"/>
        <v>225</v>
      </c>
      <c r="K34" s="20">
        <f t="shared" si="7"/>
        <v>33.75</v>
      </c>
      <c r="L34" s="20">
        <f t="shared" si="8"/>
        <v>258.75</v>
      </c>
    </row>
    <row r="35" spans="1:12">
      <c r="A35" s="5">
        <v>3033</v>
      </c>
      <c r="B35" t="s">
        <v>53</v>
      </c>
      <c r="C35" t="s">
        <v>54</v>
      </c>
      <c r="D35" s="25">
        <v>1</v>
      </c>
      <c r="E35" s="26">
        <v>45692</v>
      </c>
      <c r="F35" s="27">
        <v>0.40625</v>
      </c>
      <c r="G35" s="27">
        <v>0.45833333333333331</v>
      </c>
      <c r="H35">
        <v>1.25</v>
      </c>
      <c r="I35">
        <v>75</v>
      </c>
      <c r="J35" s="20">
        <f t="shared" si="6"/>
        <v>93.75</v>
      </c>
      <c r="K35" s="20">
        <f t="shared" si="7"/>
        <v>14.0625</v>
      </c>
      <c r="L35" s="20">
        <f t="shared" si="8"/>
        <v>107.8125</v>
      </c>
    </row>
    <row r="36" spans="1:12">
      <c r="A36" s="5">
        <v>3034</v>
      </c>
      <c r="B36" t="s">
        <v>55</v>
      </c>
      <c r="C36" t="s">
        <v>15</v>
      </c>
      <c r="D36" s="25">
        <v>1</v>
      </c>
      <c r="E36" s="26">
        <v>45700</v>
      </c>
      <c r="F36" s="27">
        <v>6.25E-2</v>
      </c>
      <c r="G36" s="27">
        <v>0.10416666666666667</v>
      </c>
      <c r="H36">
        <v>1</v>
      </c>
      <c r="I36">
        <v>75</v>
      </c>
      <c r="J36" s="20">
        <f t="shared" si="6"/>
        <v>75</v>
      </c>
      <c r="K36" s="20">
        <f t="shared" si="7"/>
        <v>11.25</v>
      </c>
      <c r="L36" s="20">
        <f t="shared" si="8"/>
        <v>86.25</v>
      </c>
    </row>
    <row r="37" spans="1:12">
      <c r="A37" s="5">
        <v>3035</v>
      </c>
      <c r="B37" t="s">
        <v>56</v>
      </c>
      <c r="C37" t="s">
        <v>19</v>
      </c>
      <c r="D37" s="25">
        <v>1</v>
      </c>
      <c r="E37" s="26">
        <v>45700</v>
      </c>
      <c r="F37" s="27">
        <v>0.4375</v>
      </c>
      <c r="G37" s="27">
        <v>0.5</v>
      </c>
      <c r="H37">
        <v>1.5</v>
      </c>
      <c r="I37">
        <v>75</v>
      </c>
      <c r="J37" s="20">
        <f t="shared" si="6"/>
        <v>112.5</v>
      </c>
      <c r="K37" s="20">
        <f t="shared" si="7"/>
        <v>16.875</v>
      </c>
      <c r="L37" s="20">
        <f t="shared" si="8"/>
        <v>129.375</v>
      </c>
    </row>
    <row r="38" spans="1:12">
      <c r="A38" s="5">
        <v>3036</v>
      </c>
      <c r="B38" t="s">
        <v>57</v>
      </c>
      <c r="C38" t="s">
        <v>22</v>
      </c>
      <c r="D38" s="25">
        <v>1</v>
      </c>
      <c r="E38" s="26">
        <v>45692</v>
      </c>
      <c r="F38" s="27">
        <v>0.39583333333333331</v>
      </c>
      <c r="G38" s="27">
        <v>0.52083333333333337</v>
      </c>
      <c r="H38">
        <v>3</v>
      </c>
      <c r="I38">
        <v>75</v>
      </c>
      <c r="J38" s="20">
        <f t="shared" si="6"/>
        <v>225</v>
      </c>
      <c r="K38" s="20">
        <f t="shared" si="7"/>
        <v>33.75</v>
      </c>
      <c r="L38" s="20">
        <f t="shared" si="8"/>
        <v>258.75</v>
      </c>
    </row>
    <row r="39" spans="1:12">
      <c r="A39" s="5">
        <v>3037</v>
      </c>
      <c r="B39" t="s">
        <v>58</v>
      </c>
      <c r="C39" t="s">
        <v>19</v>
      </c>
      <c r="D39" s="25">
        <v>1</v>
      </c>
      <c r="E39" s="26">
        <v>45693</v>
      </c>
      <c r="F39" s="27">
        <v>0.5625</v>
      </c>
      <c r="G39" s="27">
        <v>0.58333333333333337</v>
      </c>
      <c r="H39">
        <v>0.5</v>
      </c>
      <c r="I39">
        <v>75</v>
      </c>
      <c r="J39" s="20">
        <f t="shared" si="6"/>
        <v>37.5</v>
      </c>
      <c r="K39" s="20">
        <f t="shared" si="7"/>
        <v>5.625</v>
      </c>
      <c r="L39" s="20">
        <f t="shared" si="8"/>
        <v>43.125</v>
      </c>
    </row>
    <row r="40" spans="1:12">
      <c r="A40" s="5">
        <v>3038</v>
      </c>
      <c r="B40" t="s">
        <v>59</v>
      </c>
      <c r="C40" t="s">
        <v>15</v>
      </c>
      <c r="D40" s="25">
        <v>1</v>
      </c>
      <c r="E40" s="26">
        <v>45693</v>
      </c>
      <c r="F40" s="27">
        <v>0.5625</v>
      </c>
      <c r="G40" s="27">
        <v>0.58333333333333337</v>
      </c>
      <c r="H40">
        <v>0.5</v>
      </c>
      <c r="I40">
        <v>75</v>
      </c>
      <c r="J40" s="20">
        <f t="shared" si="6"/>
        <v>37.5</v>
      </c>
      <c r="K40" s="20">
        <f t="shared" si="7"/>
        <v>5.625</v>
      </c>
      <c r="L40" s="20">
        <f t="shared" si="8"/>
        <v>43.125</v>
      </c>
    </row>
    <row r="41" spans="1:12">
      <c r="A41" s="5">
        <v>3039</v>
      </c>
      <c r="B41" t="s">
        <v>60</v>
      </c>
      <c r="C41" t="s">
        <v>33</v>
      </c>
      <c r="D41" s="25">
        <v>1</v>
      </c>
      <c r="E41" s="26">
        <v>45692</v>
      </c>
      <c r="F41" s="27">
        <v>0.5625</v>
      </c>
      <c r="G41" s="27">
        <v>0.625</v>
      </c>
      <c r="H41">
        <v>1.5</v>
      </c>
      <c r="I41">
        <v>75</v>
      </c>
      <c r="J41" s="20">
        <f>H41*I41</f>
        <v>112.5</v>
      </c>
      <c r="K41" s="20">
        <f>J41*0.15</f>
        <v>16.875</v>
      </c>
      <c r="L41" s="20">
        <f>J41+K41</f>
        <v>129.375</v>
      </c>
    </row>
    <row r="42" spans="1:12">
      <c r="A42" s="5">
        <v>3040</v>
      </c>
      <c r="D42" s="25"/>
      <c r="E42" s="26"/>
      <c r="F42" s="27"/>
      <c r="J42" s="20">
        <f t="shared" si="6"/>
        <v>0</v>
      </c>
      <c r="K42" s="20">
        <f t="shared" si="7"/>
        <v>0</v>
      </c>
      <c r="L42" s="20">
        <f t="shared" si="8"/>
        <v>0</v>
      </c>
    </row>
    <row r="43" spans="1:12">
      <c r="A43">
        <v>3041</v>
      </c>
      <c r="B43" t="s">
        <v>61</v>
      </c>
      <c r="C43" t="s">
        <v>19</v>
      </c>
      <c r="D43" s="25">
        <v>1</v>
      </c>
      <c r="E43" s="26">
        <v>45700</v>
      </c>
      <c r="F43" s="27">
        <v>0.58333333333333337</v>
      </c>
      <c r="G43" s="27">
        <v>0.625</v>
      </c>
      <c r="H43">
        <v>1</v>
      </c>
      <c r="I43">
        <v>75</v>
      </c>
      <c r="J43" s="20">
        <f t="shared" si="6"/>
        <v>75</v>
      </c>
      <c r="K43" s="20">
        <f t="shared" si="7"/>
        <v>11.25</v>
      </c>
      <c r="L43" s="20">
        <f t="shared" si="8"/>
        <v>86.25</v>
      </c>
    </row>
    <row r="44" spans="1:12">
      <c r="A44">
        <v>3042</v>
      </c>
      <c r="B44" s="30" t="s">
        <v>62</v>
      </c>
      <c r="C44" t="s">
        <v>15</v>
      </c>
      <c r="D44" s="25">
        <v>1</v>
      </c>
      <c r="E44" s="26">
        <v>45700</v>
      </c>
      <c r="F44" s="27">
        <v>0.5625</v>
      </c>
      <c r="G44" s="27">
        <v>0.58333333333333337</v>
      </c>
      <c r="H44">
        <v>0.5</v>
      </c>
      <c r="I44">
        <v>75</v>
      </c>
      <c r="J44" s="20">
        <f t="shared" si="6"/>
        <v>37.5</v>
      </c>
      <c r="K44" s="20">
        <f t="shared" si="7"/>
        <v>5.625</v>
      </c>
      <c r="L44" s="20">
        <f t="shared" si="8"/>
        <v>43.125</v>
      </c>
    </row>
    <row r="45" spans="1:12">
      <c r="A45">
        <v>3043</v>
      </c>
      <c r="B45" t="s">
        <v>63</v>
      </c>
      <c r="C45" t="s">
        <v>22</v>
      </c>
      <c r="D45" s="25">
        <v>1</v>
      </c>
      <c r="E45" s="26">
        <v>45699</v>
      </c>
      <c r="F45" s="27">
        <v>0.5625</v>
      </c>
      <c r="G45" s="27">
        <v>0.64583333333333337</v>
      </c>
      <c r="H45">
        <v>2</v>
      </c>
      <c r="I45">
        <v>75</v>
      </c>
      <c r="J45" s="20">
        <f t="shared" si="6"/>
        <v>150</v>
      </c>
      <c r="K45" s="20">
        <f t="shared" si="7"/>
        <v>22.5</v>
      </c>
      <c r="L45" s="20">
        <f t="shared" si="8"/>
        <v>172.5</v>
      </c>
    </row>
    <row r="46" spans="1:12">
      <c r="A46">
        <v>3044</v>
      </c>
      <c r="B46" t="s">
        <v>64</v>
      </c>
      <c r="C46" t="s">
        <v>33</v>
      </c>
      <c r="D46" s="25">
        <v>1</v>
      </c>
      <c r="E46" s="26">
        <v>45699</v>
      </c>
      <c r="F46" s="27">
        <v>0.41666666666666669</v>
      </c>
      <c r="G46" s="27">
        <v>0.47916666666666669</v>
      </c>
      <c r="H46">
        <v>1.5</v>
      </c>
      <c r="I46">
        <v>75</v>
      </c>
      <c r="J46" s="20">
        <f>H46*I46</f>
        <v>112.5</v>
      </c>
      <c r="K46" s="20">
        <f>J46*0.15</f>
        <v>16.875</v>
      </c>
      <c r="L46" s="20">
        <f>J46+K46</f>
        <v>129.375</v>
      </c>
    </row>
    <row r="47" spans="1:12">
      <c r="A47">
        <v>3045</v>
      </c>
      <c r="B47" t="s">
        <v>65</v>
      </c>
      <c r="C47" t="s">
        <v>33</v>
      </c>
      <c r="D47" s="25">
        <v>1</v>
      </c>
      <c r="E47" s="26">
        <v>45700</v>
      </c>
      <c r="F47" s="27">
        <v>0.47916666666666669</v>
      </c>
      <c r="G47" s="27">
        <v>0.54166666666666663</v>
      </c>
      <c r="H47">
        <v>1.5</v>
      </c>
      <c r="I47">
        <v>75</v>
      </c>
      <c r="J47" s="20">
        <f>H47*I47</f>
        <v>112.5</v>
      </c>
      <c r="K47" s="20">
        <f>J47*0.15</f>
        <v>16.875</v>
      </c>
      <c r="L47" s="20">
        <f>J47+K47</f>
        <v>129.375</v>
      </c>
    </row>
    <row r="48" spans="1:12">
      <c r="A48">
        <v>3046</v>
      </c>
      <c r="B48" t="s">
        <v>66</v>
      </c>
      <c r="C48" t="s">
        <v>33</v>
      </c>
      <c r="D48" s="25">
        <v>1</v>
      </c>
      <c r="E48" s="26">
        <v>45700</v>
      </c>
      <c r="F48" s="27">
        <v>0.5625</v>
      </c>
      <c r="G48" s="27">
        <v>0.625</v>
      </c>
      <c r="H48">
        <v>1.5</v>
      </c>
      <c r="I48">
        <v>75</v>
      </c>
      <c r="J48" s="20">
        <f>H48*I48</f>
        <v>112.5</v>
      </c>
      <c r="K48" s="20">
        <f>J48*0.15</f>
        <v>16.875</v>
      </c>
      <c r="L48" s="20">
        <f>J48+K48</f>
        <v>129.375</v>
      </c>
    </row>
    <row r="49" spans="1:12">
      <c r="A49">
        <v>3047</v>
      </c>
      <c r="B49" s="30" t="s">
        <v>67</v>
      </c>
      <c r="C49" t="s">
        <v>15</v>
      </c>
      <c r="D49" s="25">
        <v>1</v>
      </c>
      <c r="E49" s="26">
        <v>45706</v>
      </c>
      <c r="F49" s="27">
        <v>0.35416666666666669</v>
      </c>
      <c r="G49" s="27">
        <v>0.39583333333333331</v>
      </c>
      <c r="H49">
        <v>1</v>
      </c>
      <c r="I49">
        <v>75</v>
      </c>
      <c r="J49" s="20">
        <f t="shared" si="6"/>
        <v>75</v>
      </c>
      <c r="K49" s="20">
        <f t="shared" si="7"/>
        <v>11.25</v>
      </c>
      <c r="L49" s="20">
        <f t="shared" si="8"/>
        <v>86.25</v>
      </c>
    </row>
    <row r="50" spans="1:12">
      <c r="A50">
        <v>3048</v>
      </c>
      <c r="B50" t="s">
        <v>68</v>
      </c>
      <c r="C50" t="s">
        <v>15</v>
      </c>
      <c r="E50" s="26">
        <v>45706</v>
      </c>
      <c r="J50" s="20">
        <f t="shared" si="6"/>
        <v>0</v>
      </c>
      <c r="K50" s="20">
        <f t="shared" si="7"/>
        <v>0</v>
      </c>
      <c r="L50" s="20">
        <f t="shared" si="8"/>
        <v>0</v>
      </c>
    </row>
    <row r="51" spans="1:12">
      <c r="A51">
        <v>3049</v>
      </c>
      <c r="B51" t="s">
        <v>69</v>
      </c>
      <c r="C51" t="s">
        <v>19</v>
      </c>
      <c r="D51" s="25">
        <v>1</v>
      </c>
      <c r="E51" s="26">
        <v>45706</v>
      </c>
      <c r="F51" s="27">
        <v>0.41666666666666669</v>
      </c>
      <c r="G51" s="27">
        <v>0.45833333333333331</v>
      </c>
      <c r="H51">
        <v>1</v>
      </c>
      <c r="I51">
        <v>75</v>
      </c>
      <c r="J51" s="20">
        <f t="shared" si="6"/>
        <v>75</v>
      </c>
      <c r="K51" s="20">
        <f t="shared" si="7"/>
        <v>11.25</v>
      </c>
      <c r="L51" s="20">
        <f t="shared" si="8"/>
        <v>86.25</v>
      </c>
    </row>
    <row r="52" spans="1:12">
      <c r="A52">
        <v>3050</v>
      </c>
      <c r="B52" t="s">
        <v>70</v>
      </c>
      <c r="C52" t="s">
        <v>19</v>
      </c>
      <c r="D52" s="25">
        <v>1</v>
      </c>
      <c r="E52" s="26">
        <v>45706</v>
      </c>
      <c r="F52" s="27">
        <v>0.45833333333333331</v>
      </c>
      <c r="G52" s="27">
        <v>0.5</v>
      </c>
      <c r="H52">
        <v>1</v>
      </c>
      <c r="I52">
        <v>75</v>
      </c>
      <c r="J52" s="20">
        <f t="shared" si="6"/>
        <v>75</v>
      </c>
      <c r="K52" s="20">
        <f t="shared" si="7"/>
        <v>11.25</v>
      </c>
      <c r="L52" s="20">
        <f t="shared" si="8"/>
        <v>86.25</v>
      </c>
    </row>
    <row r="53" spans="1:12">
      <c r="A53">
        <v>3051</v>
      </c>
      <c r="B53" t="s">
        <v>71</v>
      </c>
      <c r="C53" t="s">
        <v>22</v>
      </c>
      <c r="D53" s="25">
        <v>1</v>
      </c>
      <c r="E53" s="26">
        <v>45706</v>
      </c>
      <c r="F53" s="27">
        <v>0.39583333333333331</v>
      </c>
      <c r="G53" s="27">
        <v>0.52083333333333337</v>
      </c>
      <c r="H53">
        <v>3</v>
      </c>
      <c r="I53">
        <v>75</v>
      </c>
      <c r="J53" s="20">
        <f t="shared" si="6"/>
        <v>225</v>
      </c>
      <c r="K53" s="20">
        <f t="shared" si="7"/>
        <v>33.75</v>
      </c>
      <c r="L53" s="20">
        <f t="shared" si="8"/>
        <v>258.75</v>
      </c>
    </row>
    <row r="54" spans="1:12" ht="29.1">
      <c r="A54">
        <v>3052</v>
      </c>
      <c r="B54" s="31" t="s">
        <v>72</v>
      </c>
      <c r="C54" t="s">
        <v>22</v>
      </c>
      <c r="D54" s="25">
        <v>1</v>
      </c>
      <c r="E54" s="26">
        <v>45707</v>
      </c>
      <c r="F54" s="27">
        <v>6.25E-2</v>
      </c>
      <c r="G54" s="27">
        <v>0.14583333333333334</v>
      </c>
      <c r="H54">
        <v>2</v>
      </c>
      <c r="I54">
        <v>75</v>
      </c>
      <c r="J54" s="20">
        <f t="shared" si="6"/>
        <v>150</v>
      </c>
      <c r="K54" s="20">
        <f t="shared" si="7"/>
        <v>22.5</v>
      </c>
      <c r="L54" s="20">
        <f t="shared" si="8"/>
        <v>172.5</v>
      </c>
    </row>
    <row r="55" spans="1:12">
      <c r="A55">
        <v>3053</v>
      </c>
      <c r="B55" t="s">
        <v>73</v>
      </c>
      <c r="C55" t="s">
        <v>19</v>
      </c>
      <c r="D55" s="25">
        <v>1</v>
      </c>
      <c r="E55" s="26">
        <v>45708</v>
      </c>
      <c r="F55" s="27">
        <v>0.83333333333333337</v>
      </c>
      <c r="G55" s="27">
        <v>0.91666666666666663</v>
      </c>
      <c r="H55">
        <v>2</v>
      </c>
      <c r="I55">
        <v>75</v>
      </c>
      <c r="J55" s="20">
        <f t="shared" si="6"/>
        <v>150</v>
      </c>
      <c r="K55" s="20">
        <f t="shared" si="7"/>
        <v>22.5</v>
      </c>
      <c r="L55" s="20">
        <f t="shared" si="8"/>
        <v>172.5</v>
      </c>
    </row>
    <row r="56" spans="1:12">
      <c r="A56">
        <v>3054</v>
      </c>
      <c r="B56" t="s">
        <v>74</v>
      </c>
      <c r="C56" t="s">
        <v>33</v>
      </c>
      <c r="D56" s="25">
        <v>1</v>
      </c>
      <c r="E56" s="26">
        <v>45706</v>
      </c>
      <c r="F56" s="27">
        <v>0.39583333333333331</v>
      </c>
      <c r="G56" s="27">
        <v>0.52083333333333337</v>
      </c>
      <c r="H56">
        <v>3</v>
      </c>
      <c r="I56">
        <v>75</v>
      </c>
      <c r="J56" s="20">
        <f>H56*I56</f>
        <v>225</v>
      </c>
      <c r="K56" s="20">
        <f>J56*0.15</f>
        <v>33.75</v>
      </c>
      <c r="L56" s="20">
        <f>J56+K56</f>
        <v>258.75</v>
      </c>
    </row>
    <row r="57" spans="1:12">
      <c r="A57">
        <v>3055</v>
      </c>
      <c r="B57" t="s">
        <v>75</v>
      </c>
      <c r="C57" t="s">
        <v>33</v>
      </c>
      <c r="D57" s="25">
        <v>1</v>
      </c>
      <c r="E57" s="26">
        <v>45707</v>
      </c>
      <c r="F57" s="27">
        <v>0.5625</v>
      </c>
      <c r="G57" s="27">
        <v>0.72916666666666663</v>
      </c>
      <c r="H57">
        <v>4</v>
      </c>
      <c r="I57">
        <v>75</v>
      </c>
      <c r="J57" s="20">
        <f>H57*I57</f>
        <v>300</v>
      </c>
      <c r="K57" s="20">
        <f>J57*0.15</f>
        <v>45</v>
      </c>
      <c r="L57" s="20">
        <f>J57+K57</f>
        <v>345</v>
      </c>
    </row>
    <row r="58" spans="1:12">
      <c r="A58">
        <v>3056</v>
      </c>
      <c r="B58" t="s">
        <v>76</v>
      </c>
      <c r="C58" t="s">
        <v>15</v>
      </c>
      <c r="D58" s="25">
        <v>1</v>
      </c>
      <c r="E58" s="26">
        <v>45706</v>
      </c>
      <c r="F58" s="27">
        <v>0.5625</v>
      </c>
      <c r="G58" s="27">
        <v>8.3333333333333329E-2</v>
      </c>
      <c r="H58">
        <v>0.5</v>
      </c>
      <c r="I58">
        <v>75</v>
      </c>
      <c r="J58" s="20">
        <f t="shared" si="6"/>
        <v>37.5</v>
      </c>
      <c r="K58" s="20">
        <f t="shared" si="7"/>
        <v>5.625</v>
      </c>
      <c r="L58" s="20">
        <f t="shared" si="8"/>
        <v>43.125</v>
      </c>
    </row>
    <row r="59" spans="1:12">
      <c r="A59">
        <v>3057</v>
      </c>
      <c r="B59" t="s">
        <v>77</v>
      </c>
      <c r="J59" s="20">
        <f t="shared" si="6"/>
        <v>0</v>
      </c>
      <c r="K59" s="20">
        <f t="shared" si="7"/>
        <v>0</v>
      </c>
      <c r="L59" s="20">
        <f t="shared" si="8"/>
        <v>0</v>
      </c>
    </row>
    <row r="60" spans="1:12">
      <c r="A60">
        <v>3058</v>
      </c>
      <c r="B60" t="s">
        <v>78</v>
      </c>
      <c r="J60" s="20">
        <f t="shared" si="6"/>
        <v>0</v>
      </c>
      <c r="K60" s="20">
        <f t="shared" si="7"/>
        <v>0</v>
      </c>
      <c r="L60" s="20">
        <f t="shared" si="8"/>
        <v>0</v>
      </c>
    </row>
    <row r="61" spans="1:12" s="37" customFormat="1">
      <c r="A61" s="37">
        <v>3059</v>
      </c>
      <c r="B61" s="38" t="s">
        <v>79</v>
      </c>
      <c r="J61" s="39">
        <f t="shared" ref="J61:J74" si="9">H61*I61</f>
        <v>0</v>
      </c>
      <c r="K61" s="39">
        <f t="shared" ref="K61:K74" si="10">J61*0.15</f>
        <v>0</v>
      </c>
      <c r="L61" s="39">
        <f t="shared" ref="L61:L74" si="11">J61+K61</f>
        <v>0</v>
      </c>
    </row>
    <row r="62" spans="1:12">
      <c r="A62">
        <v>3060</v>
      </c>
      <c r="B62" t="s">
        <v>80</v>
      </c>
      <c r="C62" t="s">
        <v>30</v>
      </c>
      <c r="D62" s="25">
        <v>1</v>
      </c>
      <c r="E62" t="s">
        <v>81</v>
      </c>
      <c r="F62" t="s">
        <v>82</v>
      </c>
      <c r="G62" t="s">
        <v>83</v>
      </c>
      <c r="H62">
        <v>0.5</v>
      </c>
      <c r="I62">
        <v>75</v>
      </c>
      <c r="J62" s="20">
        <f t="shared" si="9"/>
        <v>37.5</v>
      </c>
      <c r="K62" s="20">
        <f t="shared" si="10"/>
        <v>5.625</v>
      </c>
      <c r="L62" s="20">
        <f t="shared" si="11"/>
        <v>43.125</v>
      </c>
    </row>
    <row r="63" spans="1:12">
      <c r="A63">
        <v>3061</v>
      </c>
      <c r="B63" t="s">
        <v>84</v>
      </c>
      <c r="C63" t="s">
        <v>54</v>
      </c>
      <c r="E63" t="s">
        <v>81</v>
      </c>
      <c r="J63" s="20">
        <f t="shared" si="9"/>
        <v>0</v>
      </c>
      <c r="K63" s="20">
        <f t="shared" si="10"/>
        <v>0</v>
      </c>
      <c r="L63" s="20">
        <f t="shared" si="11"/>
        <v>0</v>
      </c>
    </row>
    <row r="64" spans="1:12">
      <c r="A64">
        <v>3062</v>
      </c>
      <c r="B64" t="s">
        <v>85</v>
      </c>
      <c r="C64" t="s">
        <v>33</v>
      </c>
      <c r="E64" t="s">
        <v>81</v>
      </c>
      <c r="J64" s="20">
        <f t="shared" si="9"/>
        <v>0</v>
      </c>
      <c r="K64" s="20">
        <f t="shared" si="10"/>
        <v>0</v>
      </c>
      <c r="L64" s="20">
        <f t="shared" si="11"/>
        <v>0</v>
      </c>
    </row>
    <row r="65" spans="1:12">
      <c r="A65">
        <v>3063</v>
      </c>
      <c r="B65" t="s">
        <v>86</v>
      </c>
      <c r="C65" t="s">
        <v>22</v>
      </c>
      <c r="D65" s="25">
        <v>1</v>
      </c>
      <c r="E65" s="26">
        <v>45750</v>
      </c>
      <c r="F65" s="27" t="s">
        <v>87</v>
      </c>
      <c r="G65" s="27">
        <v>0.52083333333333337</v>
      </c>
      <c r="H65">
        <v>2.5</v>
      </c>
      <c r="I65">
        <v>75</v>
      </c>
      <c r="J65" s="20">
        <f t="shared" si="9"/>
        <v>187.5</v>
      </c>
      <c r="K65" s="20">
        <f t="shared" si="10"/>
        <v>28.125</v>
      </c>
      <c r="L65" s="20">
        <f t="shared" si="11"/>
        <v>215.625</v>
      </c>
    </row>
    <row r="66" spans="1:12">
      <c r="A66">
        <v>3064</v>
      </c>
      <c r="B66" t="s">
        <v>88</v>
      </c>
      <c r="C66" t="s">
        <v>19</v>
      </c>
      <c r="D66" s="25">
        <v>1</v>
      </c>
      <c r="E66" s="26">
        <v>45750</v>
      </c>
      <c r="F66" s="27">
        <v>0.41666666666666669</v>
      </c>
      <c r="G66" s="27">
        <v>0.52083333333333337</v>
      </c>
      <c r="H66">
        <v>2.5</v>
      </c>
      <c r="I66">
        <v>75</v>
      </c>
      <c r="J66" s="20">
        <f t="shared" si="9"/>
        <v>187.5</v>
      </c>
      <c r="K66" s="20">
        <f t="shared" si="10"/>
        <v>28.125</v>
      </c>
      <c r="L66" s="20">
        <f t="shared" si="11"/>
        <v>215.625</v>
      </c>
    </row>
    <row r="67" spans="1:12">
      <c r="A67">
        <v>3065</v>
      </c>
      <c r="B67" t="s">
        <v>88</v>
      </c>
      <c r="C67" t="s">
        <v>19</v>
      </c>
      <c r="D67" s="25">
        <v>1</v>
      </c>
      <c r="E67" s="26">
        <v>45750</v>
      </c>
      <c r="F67" s="27">
        <v>6.25E-2</v>
      </c>
      <c r="G67" s="27">
        <v>0.14583333333333334</v>
      </c>
      <c r="H67">
        <v>2</v>
      </c>
      <c r="I67">
        <v>75</v>
      </c>
      <c r="J67" s="20">
        <f t="shared" si="9"/>
        <v>150</v>
      </c>
      <c r="K67" s="20">
        <f t="shared" si="10"/>
        <v>22.5</v>
      </c>
      <c r="L67" s="20">
        <f t="shared" si="11"/>
        <v>172.5</v>
      </c>
    </row>
    <row r="68" spans="1:12">
      <c r="A68">
        <v>3066</v>
      </c>
      <c r="B68" t="s">
        <v>89</v>
      </c>
      <c r="C68" t="s">
        <v>15</v>
      </c>
      <c r="D68" s="25">
        <v>1</v>
      </c>
      <c r="E68" s="26">
        <v>45750</v>
      </c>
      <c r="F68" s="27">
        <v>0.39583333333333331</v>
      </c>
      <c r="G68" s="27">
        <v>0.4375</v>
      </c>
      <c r="H68">
        <v>1</v>
      </c>
      <c r="I68">
        <v>75</v>
      </c>
      <c r="J68" s="20">
        <f t="shared" si="9"/>
        <v>75</v>
      </c>
      <c r="K68" s="20">
        <f t="shared" si="10"/>
        <v>11.25</v>
      </c>
      <c r="L68" s="20">
        <f t="shared" si="11"/>
        <v>86.25</v>
      </c>
    </row>
    <row r="69" spans="1:12">
      <c r="A69">
        <v>3067</v>
      </c>
      <c r="B69" t="s">
        <v>90</v>
      </c>
      <c r="C69" t="s">
        <v>15</v>
      </c>
      <c r="D69" s="25">
        <v>1</v>
      </c>
      <c r="E69" s="26">
        <v>45750</v>
      </c>
      <c r="F69" s="27">
        <v>0.45833333333333331</v>
      </c>
      <c r="G69" s="27">
        <v>0.47916666666666669</v>
      </c>
      <c r="H69">
        <v>0.5</v>
      </c>
      <c r="I69">
        <v>75</v>
      </c>
      <c r="J69" s="20">
        <f t="shared" si="9"/>
        <v>37.5</v>
      </c>
      <c r="K69" s="20">
        <f t="shared" si="10"/>
        <v>5.625</v>
      </c>
      <c r="L69" s="20">
        <f t="shared" si="11"/>
        <v>43.125</v>
      </c>
    </row>
    <row r="70" spans="1:12">
      <c r="A70">
        <v>3068</v>
      </c>
      <c r="B70" t="s">
        <v>91</v>
      </c>
      <c r="C70" t="s">
        <v>15</v>
      </c>
      <c r="D70" s="25">
        <v>1</v>
      </c>
      <c r="E70" s="26">
        <v>45750</v>
      </c>
      <c r="F70" s="27">
        <v>0.5625</v>
      </c>
      <c r="G70" s="27">
        <v>0.625</v>
      </c>
      <c r="H70">
        <v>1.5</v>
      </c>
      <c r="I70">
        <v>75</v>
      </c>
      <c r="J70" s="20">
        <f t="shared" si="9"/>
        <v>112.5</v>
      </c>
      <c r="K70" s="20">
        <f t="shared" si="10"/>
        <v>16.875</v>
      </c>
      <c r="L70" s="20">
        <f t="shared" si="11"/>
        <v>129.375</v>
      </c>
    </row>
    <row r="71" spans="1:12">
      <c r="A71">
        <v>3069</v>
      </c>
      <c r="B71" t="s">
        <v>92</v>
      </c>
      <c r="C71" t="s">
        <v>22</v>
      </c>
      <c r="D71" s="25">
        <v>1</v>
      </c>
      <c r="E71" s="26">
        <v>45750</v>
      </c>
      <c r="F71" s="36">
        <v>0.41666666666666669</v>
      </c>
      <c r="G71" s="27">
        <v>0.52083333333333337</v>
      </c>
      <c r="H71">
        <v>2.5</v>
      </c>
      <c r="I71">
        <v>75</v>
      </c>
      <c r="J71" s="20">
        <f t="shared" si="9"/>
        <v>187.5</v>
      </c>
      <c r="K71" s="20">
        <f t="shared" si="10"/>
        <v>28.125</v>
      </c>
      <c r="L71" s="20">
        <f t="shared" si="11"/>
        <v>215.625</v>
      </c>
    </row>
    <row r="72" spans="1:12">
      <c r="A72">
        <v>3070</v>
      </c>
      <c r="B72" t="s">
        <v>93</v>
      </c>
      <c r="C72" t="s">
        <v>33</v>
      </c>
      <c r="D72" s="25">
        <v>1</v>
      </c>
      <c r="E72" s="26">
        <v>45727</v>
      </c>
      <c r="F72" s="27">
        <v>0.39583333333333331</v>
      </c>
      <c r="G72" s="27">
        <v>0.52083333333333337</v>
      </c>
      <c r="H72">
        <v>3</v>
      </c>
      <c r="I72">
        <v>75</v>
      </c>
      <c r="J72" s="20">
        <f t="shared" si="9"/>
        <v>225</v>
      </c>
      <c r="K72" s="20">
        <f t="shared" si="10"/>
        <v>33.75</v>
      </c>
      <c r="L72" s="20">
        <f t="shared" si="11"/>
        <v>258.75</v>
      </c>
    </row>
    <row r="73" spans="1:12">
      <c r="A73">
        <v>3071</v>
      </c>
      <c r="B73" t="s">
        <v>94</v>
      </c>
      <c r="C73" t="s">
        <v>33</v>
      </c>
      <c r="D73" s="25">
        <v>1</v>
      </c>
      <c r="E73" s="26">
        <v>45728</v>
      </c>
      <c r="F73" s="27">
        <v>0.5625</v>
      </c>
      <c r="G73" s="27">
        <v>0.64583333333333337</v>
      </c>
      <c r="H73">
        <v>2</v>
      </c>
      <c r="I73">
        <v>75</v>
      </c>
      <c r="J73" s="20">
        <f t="shared" si="9"/>
        <v>150</v>
      </c>
      <c r="K73" s="20">
        <f t="shared" si="10"/>
        <v>22.5</v>
      </c>
      <c r="L73" s="20">
        <f t="shared" si="11"/>
        <v>172.5</v>
      </c>
    </row>
    <row r="74" spans="1:12">
      <c r="A74">
        <v>3072</v>
      </c>
      <c r="B74" t="s">
        <v>95</v>
      </c>
      <c r="C74" t="s">
        <v>19</v>
      </c>
      <c r="D74" s="25">
        <v>1</v>
      </c>
      <c r="E74" s="26">
        <v>45727</v>
      </c>
      <c r="F74" s="27">
        <v>0.375</v>
      </c>
      <c r="G74" s="27">
        <v>0.5</v>
      </c>
      <c r="H74">
        <v>3</v>
      </c>
      <c r="I74">
        <v>75</v>
      </c>
      <c r="J74" s="20">
        <f t="shared" si="9"/>
        <v>225</v>
      </c>
      <c r="K74" s="20">
        <f t="shared" si="10"/>
        <v>33.75</v>
      </c>
      <c r="L74" s="20">
        <f t="shared" si="11"/>
        <v>258.75</v>
      </c>
    </row>
    <row r="75" spans="1:12">
      <c r="A75">
        <v>3073</v>
      </c>
      <c r="B75" t="s">
        <v>96</v>
      </c>
      <c r="C75" t="s">
        <v>19</v>
      </c>
      <c r="D75" s="25">
        <v>1</v>
      </c>
      <c r="E75" s="26">
        <v>45728</v>
      </c>
      <c r="F75" s="27">
        <v>0.57291666666666663</v>
      </c>
      <c r="G75" s="27">
        <v>0.58333333333333337</v>
      </c>
      <c r="H75">
        <v>0.25</v>
      </c>
      <c r="I75">
        <v>75</v>
      </c>
      <c r="J75" s="20">
        <f t="shared" ref="J75:J85" si="12">H75*I75</f>
        <v>18.75</v>
      </c>
      <c r="K75" s="20">
        <f t="shared" ref="K75:K85" si="13">J75*0.15</f>
        <v>2.8125</v>
      </c>
      <c r="L75" s="20">
        <f t="shared" ref="L75:L85" si="14">J75+K75</f>
        <v>21.5625</v>
      </c>
    </row>
    <row r="76" spans="1:12">
      <c r="A76">
        <v>3074</v>
      </c>
      <c r="B76" t="s">
        <v>97</v>
      </c>
      <c r="C76" t="s">
        <v>19</v>
      </c>
      <c r="E76" s="26">
        <v>45728</v>
      </c>
      <c r="F76" s="27">
        <v>0.59375</v>
      </c>
      <c r="G76" s="27">
        <v>0.14583333333333334</v>
      </c>
      <c r="H76">
        <v>1.25</v>
      </c>
      <c r="I76">
        <v>75</v>
      </c>
      <c r="J76" s="20">
        <f t="shared" si="12"/>
        <v>93.75</v>
      </c>
      <c r="K76" s="20">
        <f t="shared" si="13"/>
        <v>14.0625</v>
      </c>
      <c r="L76" s="20">
        <f t="shared" si="14"/>
        <v>107.8125</v>
      </c>
    </row>
    <row r="77" spans="1:12">
      <c r="A77">
        <v>3075</v>
      </c>
      <c r="B77" t="s">
        <v>98</v>
      </c>
      <c r="C77" t="s">
        <v>15</v>
      </c>
      <c r="D77" s="25">
        <v>1</v>
      </c>
      <c r="E77" s="26">
        <v>45730</v>
      </c>
      <c r="F77" s="27">
        <v>0.33333333333333331</v>
      </c>
      <c r="G77" s="27">
        <v>0.54166666666666663</v>
      </c>
      <c r="H77">
        <v>5</v>
      </c>
      <c r="I77">
        <v>75</v>
      </c>
      <c r="J77" s="20">
        <f t="shared" si="12"/>
        <v>375</v>
      </c>
      <c r="K77" s="20">
        <f t="shared" si="13"/>
        <v>56.25</v>
      </c>
      <c r="L77" s="20">
        <f t="shared" si="14"/>
        <v>431.25</v>
      </c>
    </row>
    <row r="78" spans="1:12">
      <c r="A78">
        <v>3076</v>
      </c>
      <c r="B78" t="s">
        <v>99</v>
      </c>
      <c r="C78" t="s">
        <v>19</v>
      </c>
      <c r="D78" s="25">
        <v>1</v>
      </c>
      <c r="E78" s="26">
        <v>45734</v>
      </c>
      <c r="F78" s="27">
        <v>0.375</v>
      </c>
      <c r="G78" s="27">
        <v>0.39583333333333331</v>
      </c>
      <c r="H78">
        <v>0.5</v>
      </c>
      <c r="I78">
        <v>75</v>
      </c>
      <c r="J78" s="20">
        <f t="shared" si="12"/>
        <v>37.5</v>
      </c>
      <c r="K78" s="20">
        <f t="shared" si="13"/>
        <v>5.625</v>
      </c>
      <c r="L78" s="20">
        <f t="shared" si="14"/>
        <v>43.125</v>
      </c>
    </row>
    <row r="79" spans="1:12">
      <c r="A79">
        <v>3077</v>
      </c>
      <c r="B79" t="s">
        <v>100</v>
      </c>
      <c r="C79" t="s">
        <v>19</v>
      </c>
      <c r="D79" s="25">
        <v>0.9</v>
      </c>
      <c r="E79" s="26">
        <v>45734</v>
      </c>
      <c r="F79" s="27">
        <v>0.39583333333333331</v>
      </c>
      <c r="G79" s="27">
        <v>0.4375</v>
      </c>
      <c r="H79">
        <v>1</v>
      </c>
      <c r="I79">
        <v>75</v>
      </c>
      <c r="J79" s="20">
        <f t="shared" si="12"/>
        <v>75</v>
      </c>
      <c r="K79" s="20">
        <f t="shared" si="13"/>
        <v>11.25</v>
      </c>
      <c r="L79" s="20">
        <f t="shared" si="14"/>
        <v>86.25</v>
      </c>
    </row>
    <row r="80" spans="1:12">
      <c r="A80">
        <v>3078</v>
      </c>
      <c r="B80" t="s">
        <v>101</v>
      </c>
      <c r="C80" t="s">
        <v>19</v>
      </c>
      <c r="D80" s="25">
        <v>1</v>
      </c>
      <c r="E80" s="26">
        <v>45735</v>
      </c>
      <c r="F80" s="27">
        <v>0.57291666666666663</v>
      </c>
      <c r="G80" s="27">
        <v>0.58333333333333337</v>
      </c>
      <c r="H80">
        <v>0.25</v>
      </c>
      <c r="I80">
        <v>75</v>
      </c>
      <c r="J80" s="20">
        <f t="shared" si="12"/>
        <v>18.75</v>
      </c>
      <c r="K80" s="20">
        <f t="shared" si="13"/>
        <v>2.8125</v>
      </c>
      <c r="L80" s="20">
        <f t="shared" si="14"/>
        <v>21.5625</v>
      </c>
    </row>
    <row r="81" spans="1:12">
      <c r="A81">
        <v>3079</v>
      </c>
      <c r="B81" t="s">
        <v>102</v>
      </c>
      <c r="C81" t="s">
        <v>19</v>
      </c>
      <c r="D81" s="25">
        <v>1</v>
      </c>
      <c r="E81" s="26">
        <v>45735</v>
      </c>
      <c r="F81" s="27">
        <v>0.59375</v>
      </c>
      <c r="G81" s="27">
        <v>0.64583333333333337</v>
      </c>
      <c r="H81">
        <v>1.25</v>
      </c>
      <c r="I81">
        <v>75</v>
      </c>
      <c r="J81" s="20">
        <f t="shared" si="12"/>
        <v>93.75</v>
      </c>
      <c r="K81" s="20">
        <f t="shared" si="13"/>
        <v>14.0625</v>
      </c>
      <c r="L81" s="20">
        <f t="shared" si="14"/>
        <v>107.8125</v>
      </c>
    </row>
    <row r="82" spans="1:12">
      <c r="A82">
        <v>3080</v>
      </c>
      <c r="B82" t="s">
        <v>103</v>
      </c>
      <c r="C82" t="s">
        <v>33</v>
      </c>
      <c r="D82" s="25">
        <v>1</v>
      </c>
      <c r="E82" s="26">
        <v>45734</v>
      </c>
      <c r="F82" s="27">
        <v>0.39583333333333331</v>
      </c>
      <c r="G82" s="27">
        <v>0.52083333333333337</v>
      </c>
      <c r="H82">
        <v>3</v>
      </c>
      <c r="I82">
        <v>75</v>
      </c>
      <c r="J82" s="20">
        <f t="shared" si="12"/>
        <v>225</v>
      </c>
      <c r="K82" s="20">
        <f t="shared" si="13"/>
        <v>33.75</v>
      </c>
      <c r="L82" s="20">
        <f t="shared" si="14"/>
        <v>258.75</v>
      </c>
    </row>
    <row r="83" spans="1:12">
      <c r="A83">
        <v>3081</v>
      </c>
      <c r="B83" s="4" t="s">
        <v>104</v>
      </c>
      <c r="C83" t="s">
        <v>105</v>
      </c>
      <c r="D83" s="25">
        <v>1</v>
      </c>
      <c r="E83" s="26">
        <v>45735</v>
      </c>
      <c r="F83" s="27">
        <v>0.5625</v>
      </c>
      <c r="G83" s="27">
        <v>0.6875</v>
      </c>
      <c r="H83">
        <v>3</v>
      </c>
      <c r="I83">
        <v>75</v>
      </c>
      <c r="J83" s="20">
        <f t="shared" si="12"/>
        <v>225</v>
      </c>
      <c r="K83" s="20">
        <f t="shared" si="13"/>
        <v>33.75</v>
      </c>
      <c r="L83" s="20">
        <f t="shared" si="14"/>
        <v>258.75</v>
      </c>
    </row>
    <row r="84" spans="1:12">
      <c r="A84">
        <v>3082</v>
      </c>
      <c r="B84" t="s">
        <v>106</v>
      </c>
      <c r="C84" t="s">
        <v>33</v>
      </c>
      <c r="D84" s="25">
        <v>1</v>
      </c>
      <c r="E84" s="26">
        <v>45736</v>
      </c>
      <c r="F84" s="27">
        <v>0.375</v>
      </c>
      <c r="G84" s="27">
        <v>0.45833333333333331</v>
      </c>
      <c r="H84">
        <v>2</v>
      </c>
      <c r="I84">
        <v>75</v>
      </c>
      <c r="J84" s="20">
        <f t="shared" si="12"/>
        <v>150</v>
      </c>
      <c r="K84" s="20">
        <f t="shared" si="13"/>
        <v>22.5</v>
      </c>
      <c r="L84" s="20">
        <f t="shared" si="14"/>
        <v>172.5</v>
      </c>
    </row>
    <row r="85" spans="1:12">
      <c r="A85">
        <v>3083</v>
      </c>
      <c r="B85" t="s">
        <v>107</v>
      </c>
      <c r="C85" t="s">
        <v>33</v>
      </c>
      <c r="D85" s="25">
        <v>1</v>
      </c>
      <c r="E85" s="26">
        <v>45736</v>
      </c>
      <c r="F85" s="27">
        <v>0.45833333333333331</v>
      </c>
      <c r="G85" s="27">
        <v>0.5</v>
      </c>
      <c r="H85">
        <v>1</v>
      </c>
      <c r="I85">
        <v>75</v>
      </c>
      <c r="J85" s="20">
        <f t="shared" si="12"/>
        <v>75</v>
      </c>
      <c r="K85" s="20">
        <f t="shared" si="13"/>
        <v>11.25</v>
      </c>
      <c r="L85" s="20">
        <f t="shared" si="14"/>
        <v>86.25</v>
      </c>
    </row>
    <row r="86" spans="1:12" ht="14.25">
      <c r="A86">
        <v>3084</v>
      </c>
      <c r="B86" s="40" t="s">
        <v>108</v>
      </c>
      <c r="C86" t="s">
        <v>15</v>
      </c>
      <c r="D86" s="25">
        <v>1</v>
      </c>
      <c r="E86" s="26">
        <v>45736</v>
      </c>
      <c r="F86" s="27">
        <v>0.375</v>
      </c>
      <c r="G86" s="27">
        <v>0.41666666666666669</v>
      </c>
      <c r="H86">
        <v>1</v>
      </c>
      <c r="I86">
        <v>75</v>
      </c>
      <c r="J86" s="20">
        <f>H86*I86</f>
        <v>75</v>
      </c>
      <c r="K86" s="20">
        <f>J86*0.15</f>
        <v>11.25</v>
      </c>
      <c r="L86" s="20">
        <f>J86+K86</f>
        <v>86.25</v>
      </c>
    </row>
    <row r="87" spans="1:12" ht="14.25">
      <c r="A87">
        <v>3085</v>
      </c>
      <c r="B87" t="s">
        <v>109</v>
      </c>
      <c r="C87" t="s">
        <v>15</v>
      </c>
      <c r="D87" s="25">
        <v>1</v>
      </c>
      <c r="E87" s="26">
        <v>45736</v>
      </c>
      <c r="F87" s="27">
        <v>0.41666666666666669</v>
      </c>
      <c r="G87" s="27">
        <v>0.45833333333333331</v>
      </c>
      <c r="H87">
        <v>1</v>
      </c>
      <c r="I87">
        <v>75</v>
      </c>
      <c r="J87" s="20">
        <f>H87*I87</f>
        <v>75</v>
      </c>
      <c r="K87" s="20">
        <f>J87*0.15</f>
        <v>11.25</v>
      </c>
      <c r="L87" s="20">
        <f>J87+K87</f>
        <v>86.25</v>
      </c>
    </row>
    <row r="88" spans="1:12" ht="14.25">
      <c r="A88">
        <v>3086</v>
      </c>
      <c r="B88" s="40" t="s">
        <v>110</v>
      </c>
      <c r="C88" t="s">
        <v>15</v>
      </c>
      <c r="D88" s="25">
        <v>1</v>
      </c>
      <c r="E88" s="26">
        <v>45736</v>
      </c>
      <c r="F88" s="27">
        <v>0.45833333333333331</v>
      </c>
      <c r="G88" s="27">
        <v>0.5</v>
      </c>
      <c r="H88">
        <v>1</v>
      </c>
      <c r="I88">
        <v>75</v>
      </c>
      <c r="J88" s="20">
        <f t="shared" ref="J88:J89" si="15">H88*I88</f>
        <v>75</v>
      </c>
      <c r="K88" s="20">
        <f>J88*0.15</f>
        <v>11.25</v>
      </c>
      <c r="L88" s="20">
        <f>J88+K88</f>
        <v>86.25</v>
      </c>
    </row>
    <row r="89" spans="1:12" ht="14.25">
      <c r="A89">
        <v>3087</v>
      </c>
      <c r="B89" t="s">
        <v>111</v>
      </c>
      <c r="C89" t="s">
        <v>112</v>
      </c>
      <c r="D89" s="25">
        <v>1</v>
      </c>
      <c r="E89" s="26">
        <v>45741</v>
      </c>
      <c r="F89" s="27">
        <v>0.39583333333333331</v>
      </c>
      <c r="G89" s="27">
        <v>0.52083333333333337</v>
      </c>
      <c r="H89">
        <v>3</v>
      </c>
      <c r="I89">
        <v>75</v>
      </c>
      <c r="J89" s="20">
        <f t="shared" ref="J89" si="16">H89*I89</f>
        <v>225</v>
      </c>
      <c r="K89" s="20">
        <f>J89*0.15</f>
        <v>33.75</v>
      </c>
      <c r="L89" s="20">
        <f>J89+K89</f>
        <v>258.75</v>
      </c>
    </row>
    <row r="90" spans="1:12" ht="14.25">
      <c r="A90">
        <v>3088</v>
      </c>
      <c r="B90" t="s">
        <v>113</v>
      </c>
      <c r="C90" t="s">
        <v>112</v>
      </c>
      <c r="D90" s="25">
        <v>0.8</v>
      </c>
      <c r="E90" s="26">
        <v>45742</v>
      </c>
      <c r="F90" s="27">
        <v>0.5625</v>
      </c>
      <c r="G90" s="27">
        <v>0.64583333333333337</v>
      </c>
      <c r="H90">
        <v>2</v>
      </c>
      <c r="I90">
        <v>75</v>
      </c>
      <c r="J90" s="20">
        <f t="shared" ref="J90:J100" si="17">H90*I90</f>
        <v>150</v>
      </c>
      <c r="K90" s="20">
        <f>J90*0.15</f>
        <v>22.5</v>
      </c>
      <c r="L90" s="20">
        <f>J90+K90</f>
        <v>172.5</v>
      </c>
    </row>
    <row r="91" spans="1:12" ht="14.25">
      <c r="A91">
        <v>3089</v>
      </c>
      <c r="B91" t="s">
        <v>114</v>
      </c>
      <c r="C91" t="s">
        <v>15</v>
      </c>
      <c r="D91" s="25">
        <v>1</v>
      </c>
      <c r="E91" s="26">
        <v>45742</v>
      </c>
      <c r="F91" s="27">
        <v>0.60416666666666696</v>
      </c>
      <c r="G91" s="27">
        <v>0.6875</v>
      </c>
      <c r="H91">
        <v>2</v>
      </c>
      <c r="I91">
        <v>75</v>
      </c>
      <c r="J91" s="20">
        <f t="shared" si="17"/>
        <v>150</v>
      </c>
      <c r="K91" s="20">
        <f t="shared" ref="K91:K100" si="18">J91*0.15</f>
        <v>22.5</v>
      </c>
      <c r="L91" s="20">
        <f t="shared" ref="L91:L100" si="19">J91+K91</f>
        <v>172.5</v>
      </c>
    </row>
    <row r="92" spans="1:12" ht="14.25">
      <c r="A92">
        <v>3090</v>
      </c>
      <c r="B92" t="s">
        <v>115</v>
      </c>
      <c r="C92" t="s">
        <v>19</v>
      </c>
      <c r="D92" s="25">
        <v>1</v>
      </c>
      <c r="E92" s="26">
        <v>45748</v>
      </c>
      <c r="F92" s="27">
        <v>0.375</v>
      </c>
      <c r="G92" s="27">
        <v>0.5</v>
      </c>
      <c r="H92">
        <v>3</v>
      </c>
      <c r="I92">
        <v>75</v>
      </c>
      <c r="J92" s="20">
        <f t="shared" si="17"/>
        <v>225</v>
      </c>
      <c r="K92" s="20">
        <f t="shared" si="18"/>
        <v>33.75</v>
      </c>
      <c r="L92" s="20">
        <f t="shared" si="19"/>
        <v>258.75</v>
      </c>
    </row>
    <row r="93" spans="1:12" ht="14.25">
      <c r="A93">
        <v>3091</v>
      </c>
      <c r="B93" t="s">
        <v>116</v>
      </c>
      <c r="C93" t="s">
        <v>19</v>
      </c>
      <c r="D93" s="25">
        <v>1</v>
      </c>
      <c r="E93" s="26">
        <v>45749</v>
      </c>
      <c r="F93" s="27">
        <v>8.3333333333333329E-2</v>
      </c>
      <c r="G93" s="27">
        <v>0.10416666666666667</v>
      </c>
      <c r="H93">
        <v>0.5</v>
      </c>
      <c r="I93">
        <v>75</v>
      </c>
      <c r="J93" s="20">
        <f t="shared" si="17"/>
        <v>37.5</v>
      </c>
      <c r="K93" s="20">
        <f t="shared" si="18"/>
        <v>5.625</v>
      </c>
      <c r="L93" s="20">
        <f t="shared" si="19"/>
        <v>43.125</v>
      </c>
    </row>
    <row r="94" spans="1:12" ht="14.25">
      <c r="A94">
        <v>3092</v>
      </c>
      <c r="B94" t="s">
        <v>117</v>
      </c>
      <c r="C94" t="s">
        <v>33</v>
      </c>
      <c r="D94">
        <v>100</v>
      </c>
      <c r="E94" s="26">
        <v>45748</v>
      </c>
      <c r="F94" s="27">
        <v>0.41666666666666669</v>
      </c>
      <c r="G94" s="27">
        <v>0.47916666666666669</v>
      </c>
      <c r="H94">
        <v>1.5</v>
      </c>
      <c r="I94">
        <v>75</v>
      </c>
      <c r="J94" s="20">
        <f t="shared" ref="J94" si="20">H94*I94</f>
        <v>112.5</v>
      </c>
      <c r="K94" s="20">
        <f t="shared" ref="K94" si="21">J94*0.15</f>
        <v>16.875</v>
      </c>
      <c r="L94" s="20">
        <f t="shared" ref="L94" si="22">J94+K94</f>
        <v>129.375</v>
      </c>
    </row>
    <row r="95" spans="1:12" ht="14.25">
      <c r="A95">
        <v>3093</v>
      </c>
      <c r="B95" t="s">
        <v>118</v>
      </c>
      <c r="C95" t="s">
        <v>33</v>
      </c>
      <c r="D95">
        <v>100</v>
      </c>
      <c r="E95" s="26">
        <v>45749</v>
      </c>
      <c r="F95" s="27">
        <v>0.5625</v>
      </c>
      <c r="G95" s="27">
        <v>0.625</v>
      </c>
      <c r="H95">
        <v>1.5</v>
      </c>
      <c r="I95">
        <v>75</v>
      </c>
      <c r="J95" s="20">
        <f t="shared" ref="J95" si="23">H95*I95</f>
        <v>112.5</v>
      </c>
      <c r="K95" s="20">
        <f t="shared" ref="K95" si="24">J95*0.15</f>
        <v>16.875</v>
      </c>
      <c r="L95" s="20">
        <f t="shared" ref="L95" si="25">J95+K95</f>
        <v>129.375</v>
      </c>
    </row>
    <row r="96" spans="1:12" ht="14.25">
      <c r="A96">
        <v>3094</v>
      </c>
      <c r="B96" t="s">
        <v>119</v>
      </c>
      <c r="C96" t="s">
        <v>120</v>
      </c>
      <c r="D96" s="25">
        <v>1</v>
      </c>
      <c r="E96" s="26">
        <v>45755</v>
      </c>
      <c r="F96" s="27">
        <v>0.375</v>
      </c>
      <c r="G96" s="27">
        <v>0.52083333333333337</v>
      </c>
      <c r="H96">
        <v>3.5</v>
      </c>
      <c r="I96">
        <v>75</v>
      </c>
      <c r="J96" s="20">
        <f t="shared" si="17"/>
        <v>262.5</v>
      </c>
      <c r="K96" s="20">
        <f t="shared" si="18"/>
        <v>39.375</v>
      </c>
      <c r="L96" s="20">
        <f t="shared" si="19"/>
        <v>301.875</v>
      </c>
    </row>
    <row r="97" spans="1:12" ht="14.25">
      <c r="A97">
        <v>3095</v>
      </c>
      <c r="B97" t="s">
        <v>121</v>
      </c>
      <c r="C97" t="s">
        <v>120</v>
      </c>
      <c r="D97" s="25">
        <v>1</v>
      </c>
      <c r="E97" s="26">
        <v>45756</v>
      </c>
      <c r="F97" s="27">
        <v>6.25E-2</v>
      </c>
      <c r="G97" s="27">
        <v>0.64583333333333337</v>
      </c>
      <c r="H97">
        <v>2</v>
      </c>
      <c r="I97">
        <v>75</v>
      </c>
      <c r="J97" s="20">
        <f t="shared" si="17"/>
        <v>150</v>
      </c>
      <c r="K97" s="20">
        <f t="shared" si="18"/>
        <v>22.5</v>
      </c>
      <c r="L97" s="20">
        <f t="shared" si="19"/>
        <v>172.5</v>
      </c>
    </row>
    <row r="98" spans="1:12" ht="14.25">
      <c r="A98">
        <v>3096</v>
      </c>
      <c r="B98" t="s">
        <v>122</v>
      </c>
      <c r="C98" t="s">
        <v>15</v>
      </c>
      <c r="D98" s="25">
        <v>1</v>
      </c>
      <c r="E98" s="26">
        <v>45756</v>
      </c>
      <c r="F98" s="27">
        <v>6.25E-2</v>
      </c>
      <c r="G98" s="27" t="s">
        <v>123</v>
      </c>
      <c r="H98">
        <v>2</v>
      </c>
      <c r="I98">
        <v>75</v>
      </c>
      <c r="J98" s="20">
        <f>H98*I98</f>
        <v>150</v>
      </c>
      <c r="K98" s="20">
        <f t="shared" si="18"/>
        <v>22.5</v>
      </c>
      <c r="L98" s="20">
        <f t="shared" si="19"/>
        <v>172.5</v>
      </c>
    </row>
    <row r="99" spans="1:12" ht="14.25">
      <c r="A99">
        <v>3097</v>
      </c>
      <c r="B99" t="s">
        <v>124</v>
      </c>
      <c r="C99" t="s">
        <v>125</v>
      </c>
      <c r="D99" s="25">
        <v>1</v>
      </c>
      <c r="E99" s="26">
        <v>45755</v>
      </c>
      <c r="F99" s="27">
        <v>0.375</v>
      </c>
      <c r="G99" s="27">
        <v>0.52083333333333337</v>
      </c>
      <c r="H99" s="27">
        <v>3.5</v>
      </c>
      <c r="I99">
        <v>75</v>
      </c>
      <c r="J99" s="20">
        <f>H99*I99</f>
        <v>262.5</v>
      </c>
      <c r="K99" s="20">
        <f t="shared" si="18"/>
        <v>39.375</v>
      </c>
      <c r="L99" s="20">
        <f t="shared" si="19"/>
        <v>301.875</v>
      </c>
    </row>
    <row r="100" spans="1:12" ht="14.25">
      <c r="E100" s="26"/>
      <c r="J100" s="20">
        <f t="shared" si="17"/>
        <v>0</v>
      </c>
      <c r="K100" s="20">
        <f t="shared" si="18"/>
        <v>0</v>
      </c>
      <c r="L100" s="20">
        <f t="shared" si="19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E92B4-3C9B-4FCD-9CBE-C51739EB1D09}">
  <dimension ref="A1:Q11"/>
  <sheetViews>
    <sheetView tabSelected="1" workbookViewId="0">
      <selection activeCell="B5" sqref="B5"/>
    </sheetView>
  </sheetViews>
  <sheetFormatPr defaultRowHeight="14.45"/>
  <cols>
    <col min="1" max="1" width="7.42578125" customWidth="1"/>
    <col min="2" max="2" width="54.140625" bestFit="1" customWidth="1"/>
    <col min="3" max="3" width="11.85546875" bestFit="1" customWidth="1"/>
    <col min="4" max="4" width="14.5703125" customWidth="1"/>
    <col min="5" max="5" width="10.28515625" bestFit="1" customWidth="1"/>
    <col min="13" max="13" width="3.28515625" customWidth="1"/>
    <col min="14" max="14" width="8.7109375" bestFit="1" customWidth="1"/>
    <col min="15" max="15" width="11.7109375" customWidth="1"/>
  </cols>
  <sheetData>
    <row r="1" spans="1:17" ht="36.75" customHeight="1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8"/>
      <c r="N1" s="18" t="s">
        <v>12</v>
      </c>
      <c r="O1" s="19" t="s">
        <v>13</v>
      </c>
      <c r="P1" s="19" t="s">
        <v>10</v>
      </c>
      <c r="Q1" s="19" t="s">
        <v>11</v>
      </c>
    </row>
    <row r="2" spans="1:17" ht="14.25">
      <c r="A2">
        <v>3094</v>
      </c>
      <c r="B2" t="s">
        <v>119</v>
      </c>
      <c r="C2" t="s">
        <v>120</v>
      </c>
      <c r="D2" s="25">
        <v>1</v>
      </c>
      <c r="E2" s="26">
        <v>45755</v>
      </c>
      <c r="F2" s="27">
        <v>0.375</v>
      </c>
      <c r="G2" s="27">
        <v>0.52083333333333337</v>
      </c>
      <c r="H2">
        <v>3.5</v>
      </c>
      <c r="I2">
        <v>75</v>
      </c>
      <c r="J2" s="20">
        <f t="shared" ref="J2:J3" si="0">H2*I2</f>
        <v>262.5</v>
      </c>
      <c r="K2" s="20">
        <f t="shared" ref="K2:K3" si="1">J2*0.15</f>
        <v>39.375</v>
      </c>
      <c r="L2" s="20">
        <f t="shared" ref="L2:L3" si="2">J2+K2</f>
        <v>301.875</v>
      </c>
      <c r="M2" s="22"/>
      <c r="N2" s="22">
        <f>SUM(H2:H6)</f>
        <v>5.5</v>
      </c>
      <c r="O2" s="16">
        <f>SUM(J2:J5)</f>
        <v>412.5</v>
      </c>
      <c r="P2" s="16">
        <f>SUM(K2:K5)</f>
        <v>61.875</v>
      </c>
      <c r="Q2" s="16">
        <f>SUM(L2:L5)</f>
        <v>474.375</v>
      </c>
    </row>
    <row r="3" spans="1:17" ht="14.25">
      <c r="A3">
        <v>3095</v>
      </c>
      <c r="B3" t="s">
        <v>126</v>
      </c>
      <c r="C3" t="s">
        <v>120</v>
      </c>
      <c r="D3" s="25">
        <v>1</v>
      </c>
      <c r="E3" s="26">
        <v>45756</v>
      </c>
      <c r="F3" s="27">
        <v>6.25E-2</v>
      </c>
      <c r="G3" s="27">
        <v>0.14583333333333334</v>
      </c>
      <c r="H3">
        <v>2</v>
      </c>
      <c r="I3">
        <v>75</v>
      </c>
      <c r="J3" s="20">
        <f t="shared" si="0"/>
        <v>150</v>
      </c>
      <c r="K3" s="20">
        <f t="shared" si="1"/>
        <v>22.5</v>
      </c>
      <c r="L3" s="20">
        <f t="shared" si="2"/>
        <v>172.5</v>
      </c>
      <c r="M3" s="23"/>
      <c r="N3" s="24"/>
      <c r="O3" s="24"/>
      <c r="P3" s="24"/>
    </row>
    <row r="4" spans="1:17" ht="15">
      <c r="A4">
        <v>3074</v>
      </c>
      <c r="D4" s="25"/>
      <c r="E4" s="26"/>
      <c r="F4" s="27"/>
      <c r="G4" s="27"/>
      <c r="J4" s="20"/>
      <c r="K4" s="20"/>
      <c r="L4" s="20"/>
      <c r="M4" s="1"/>
      <c r="N4" s="2"/>
      <c r="O4" s="3"/>
      <c r="P4" s="3"/>
    </row>
    <row r="5" spans="1:17" ht="15">
      <c r="A5">
        <v>3075</v>
      </c>
      <c r="D5" s="25"/>
      <c r="E5" s="26"/>
      <c r="F5" s="27"/>
      <c r="G5" s="27"/>
      <c r="J5" s="20"/>
      <c r="K5" s="20"/>
      <c r="L5" s="20"/>
      <c r="M5" s="23"/>
      <c r="N5" s="24"/>
      <c r="O5" s="24"/>
      <c r="P5" s="24"/>
    </row>
    <row r="6" spans="1:17">
      <c r="A6">
        <v>3074</v>
      </c>
      <c r="D6" s="25"/>
      <c r="E6" s="26"/>
      <c r="F6" s="27"/>
      <c r="G6" s="27"/>
      <c r="J6" s="20"/>
      <c r="K6" s="20"/>
      <c r="L6" s="20"/>
    </row>
    <row r="7" spans="1:17">
      <c r="A7">
        <v>3075</v>
      </c>
      <c r="D7" s="25"/>
      <c r="E7" s="26"/>
      <c r="F7" s="27"/>
      <c r="G7" s="27"/>
      <c r="J7" s="20"/>
      <c r="K7" s="20"/>
      <c r="L7" s="20"/>
    </row>
    <row r="8" spans="1:17">
      <c r="A8">
        <v>3076</v>
      </c>
      <c r="D8" s="13"/>
      <c r="E8" s="6"/>
      <c r="F8" s="6"/>
      <c r="G8" s="5"/>
      <c r="H8" s="5"/>
      <c r="I8" s="20"/>
      <c r="J8" s="20"/>
      <c r="K8" s="20"/>
    </row>
    <row r="9" spans="1:17">
      <c r="A9">
        <v>3077</v>
      </c>
      <c r="B9" s="4"/>
    </row>
    <row r="10" spans="1:17">
      <c r="A10">
        <v>3078</v>
      </c>
      <c r="B10" s="4"/>
      <c r="M10" s="1"/>
      <c r="N10" s="2"/>
      <c r="O10" s="3"/>
      <c r="P10" s="3"/>
    </row>
    <row r="11" spans="1:17">
      <c r="A11">
        <v>3079</v>
      </c>
      <c r="B11" s="4" t="s">
        <v>127</v>
      </c>
      <c r="M11" s="23"/>
      <c r="N11" s="24"/>
      <c r="O11" s="24"/>
      <c r="P11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Yimga Ngetchou, Elianne darc</cp:lastModifiedBy>
  <cp:revision/>
  <dcterms:created xsi:type="dcterms:W3CDTF">2025-01-14T13:01:02Z</dcterms:created>
  <dcterms:modified xsi:type="dcterms:W3CDTF">2025-04-12T16:14:44Z</dcterms:modified>
  <cp:category/>
  <cp:contentStatus/>
</cp:coreProperties>
</file>